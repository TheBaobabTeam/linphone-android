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Eppy\Documents\GitHub\linphone-android\Documentation\"/>
    </mc:Choice>
  </mc:AlternateContent>
  <bookViews>
    <workbookView xWindow="0" yWindow="0" windowWidth="20490" windowHeight="7755" tabRatio="620"/>
  </bookViews>
  <sheets>
    <sheet name="Sprint" sheetId="7" r:id="rId1"/>
    <sheet name="Analysis" sheetId="8" r:id="rId2"/>
    <sheet name="Team Roster" sheetId="5" r:id="rId3"/>
    <sheet name="Capacity" sheetId="6" r:id="rId4"/>
  </sheets>
  <definedNames>
    <definedName name="_xlnm._FilterDatabase" localSheetId="0" hidden="1">Sprint!$A$2:$F$10</definedName>
    <definedName name="Burndown" localSheetId="1">Sprint!#REF!</definedName>
    <definedName name="Burndown">Sprint!#REF!</definedName>
    <definedName name="BurndownColumns" localSheetId="1">Analysis!$E$41</definedName>
    <definedName name="BurndownColumns">Analysis!$E$41</definedName>
    <definedName name="DailyScrumDateModifier" localSheetId="1">Analysis!#REF!</definedName>
    <definedName name="DailyScrumDateModifier">Analysis!#REF!</definedName>
    <definedName name="HoursLeftColumn" localSheetId="1">Analysis!$E$43</definedName>
    <definedName name="HoursLeftColumn">Analysis!$E$43</definedName>
    <definedName name="HoursSpentColumn" localSheetId="1">Analysis!$E$42</definedName>
    <definedName name="HoursSpentColumn">Analysis!$E$42</definedName>
    <definedName name="LastRow">Sprint!#REF!</definedName>
    <definedName name="LeftColumn" localSheetId="1">Analysis!$E$43</definedName>
    <definedName name="LeftColumn">Analysis!$E$43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3">Capacity!$A$7:$AB$24</definedName>
    <definedName name="SkipWeekends" localSheetId="1">Analysis!#REF!</definedName>
    <definedName name="SkipWeekends">Analysis!#REF!</definedName>
    <definedName name="SpentColumn" localSheetId="1">Analysis!$E$42</definedName>
    <definedName name="SpentColumn">Analysis!$E$42</definedName>
    <definedName name="SprintDates" localSheetId="1">Sprint!#REF!</definedName>
    <definedName name="SprintDates">Sprint!#REF!</definedName>
    <definedName name="SprintStart">Capacity!$E$6</definedName>
    <definedName name="Start_Date">Capacity!$E$6</definedName>
    <definedName name="StatusColumn" localSheetId="1">Analysis!$E$44</definedName>
    <definedName name="StatusColumn">Analysis!$E$44</definedName>
    <definedName name="StatusTypes" localSheetId="1">Analysis!$A$47:$A$47</definedName>
    <definedName name="StatusTypes">Analysis!$A$47:$A$47</definedName>
    <definedName name="TotalEffort" localSheetId="1">Sprint!#REF!</definedName>
    <definedName name="TotalEffort">Sprint!#REF!</definedName>
  </definedNames>
  <calcPr calcId="152511"/>
</workbook>
</file>

<file path=xl/calcChain.xml><?xml version="1.0" encoding="utf-8"?>
<calcChain xmlns="http://schemas.openxmlformats.org/spreadsheetml/2006/main">
  <c r="D5" i="6" l="1"/>
  <c r="D4" i="6"/>
  <c r="I9" i="6" s="1"/>
  <c r="G15" i="5"/>
  <c r="E3" i="6" l="1"/>
  <c r="D3" i="6" s="1"/>
  <c r="D6" i="6"/>
  <c r="A19" i="8"/>
  <c r="G12" i="6"/>
  <c r="G13" i="6" l="1"/>
  <c r="G11" i="6"/>
  <c r="H23" i="8"/>
  <c r="I15" i="6"/>
  <c r="P9" i="6"/>
  <c r="P16" i="6" s="1"/>
  <c r="J9" i="6"/>
  <c r="J12" i="6" s="1"/>
  <c r="I12" i="6"/>
  <c r="I13" i="6"/>
  <c r="I14" i="6"/>
  <c r="P11" i="6"/>
  <c r="I16" i="6"/>
  <c r="I11" i="6"/>
  <c r="G14" i="6" l="1"/>
  <c r="J16" i="6"/>
  <c r="J14" i="6"/>
  <c r="J11" i="6"/>
  <c r="J13" i="6"/>
  <c r="P14" i="6"/>
  <c r="H24" i="8"/>
  <c r="H27" i="8" s="1"/>
  <c r="P15" i="6"/>
  <c r="Q9" i="6"/>
  <c r="Q11" i="6" s="1"/>
  <c r="P12" i="6"/>
  <c r="P13" i="6"/>
  <c r="E27" i="8"/>
  <c r="J15" i="6"/>
  <c r="K9" i="6"/>
  <c r="I23" i="8"/>
  <c r="F27" i="8" l="1"/>
  <c r="F28" i="8" s="1"/>
  <c r="G16" i="6"/>
  <c r="G15" i="6"/>
  <c r="Q13" i="6"/>
  <c r="R9" i="6"/>
  <c r="R12" i="6" s="1"/>
  <c r="G27" i="8"/>
  <c r="I24" i="8"/>
  <c r="I27" i="8" s="1"/>
  <c r="I28" i="8" s="1"/>
  <c r="Q16" i="6"/>
  <c r="Q15" i="6"/>
  <c r="Q12" i="6"/>
  <c r="Q14" i="6"/>
  <c r="K16" i="6"/>
  <c r="L9" i="6"/>
  <c r="K13" i="6"/>
  <c r="K12" i="6"/>
  <c r="K11" i="6"/>
  <c r="K14" i="6"/>
  <c r="K15" i="6"/>
  <c r="H28" i="8"/>
  <c r="G28" i="8" l="1"/>
  <c r="R11" i="6"/>
  <c r="R13" i="6"/>
  <c r="R16" i="6"/>
  <c r="R14" i="6"/>
  <c r="G25" i="8"/>
  <c r="R15" i="6"/>
  <c r="S9" i="6"/>
  <c r="L13" i="6"/>
  <c r="L16" i="6"/>
  <c r="L12" i="6"/>
  <c r="L15" i="6"/>
  <c r="L11" i="6"/>
  <c r="M9" i="6"/>
  <c r="L14" i="6"/>
  <c r="J23" i="8"/>
  <c r="J24" i="8" s="1"/>
  <c r="J27" i="8" s="1"/>
  <c r="J28" i="8" s="1"/>
  <c r="T9" i="6"/>
  <c r="S11" i="6"/>
  <c r="S12" i="6"/>
  <c r="S16" i="6"/>
  <c r="S14" i="6"/>
  <c r="S15" i="6"/>
  <c r="S13" i="6"/>
  <c r="H25" i="8"/>
  <c r="H35" i="8"/>
  <c r="H36" i="8"/>
  <c r="H31" i="8"/>
  <c r="H37" i="8"/>
  <c r="I37" i="8" l="1"/>
  <c r="M16" i="6"/>
  <c r="M13" i="6"/>
  <c r="M14" i="6"/>
  <c r="N9" i="6"/>
  <c r="O9" i="6" s="1"/>
  <c r="M12" i="6"/>
  <c r="M11" i="6"/>
  <c r="M15" i="6"/>
  <c r="K23" i="8"/>
  <c r="K24" i="8" s="1"/>
  <c r="K27" i="8" s="1"/>
  <c r="K28" i="8" s="1"/>
  <c r="T14" i="6"/>
  <c r="T16" i="6"/>
  <c r="T11" i="6"/>
  <c r="T15" i="6"/>
  <c r="U9" i="6"/>
  <c r="V9" i="6" s="1"/>
  <c r="T13" i="6"/>
  <c r="T12" i="6"/>
  <c r="I25" i="8"/>
  <c r="J25" i="8" l="1"/>
  <c r="I36" i="8"/>
  <c r="I31" i="8"/>
  <c r="I35" i="8"/>
  <c r="I33" i="8"/>
  <c r="M23" i="8"/>
  <c r="L23" i="8"/>
  <c r="L24" i="8" s="1"/>
  <c r="L27" i="8" s="1"/>
  <c r="L28" i="8" s="1"/>
  <c r="J35" i="8"/>
  <c r="J33" i="8" l="1"/>
  <c r="J31" i="8"/>
  <c r="J37" i="8"/>
  <c r="J36" i="8"/>
  <c r="I32" i="8"/>
  <c r="M24" i="8"/>
  <c r="M27" i="8" s="1"/>
  <c r="M28" i="8" s="1"/>
  <c r="N23" i="8"/>
  <c r="N24" i="8" s="1"/>
  <c r="N27" i="8" s="1"/>
  <c r="N28" i="8" s="1"/>
  <c r="K33" i="8"/>
  <c r="K31" i="8"/>
  <c r="K35" i="8"/>
  <c r="K37" i="8"/>
  <c r="K36" i="8"/>
  <c r="K25" i="8"/>
  <c r="J32" i="8" l="1"/>
  <c r="W14" i="6"/>
  <c r="W16" i="6"/>
  <c r="W15" i="6"/>
  <c r="W12" i="6"/>
  <c r="W13" i="6"/>
  <c r="W11" i="6"/>
  <c r="K32" i="8"/>
  <c r="L25" i="8"/>
  <c r="L35" i="8"/>
  <c r="L33" i="8"/>
  <c r="L36" i="8"/>
  <c r="L31" i="8"/>
  <c r="L37" i="8"/>
  <c r="L32" i="8" l="1"/>
  <c r="C12" i="6"/>
  <c r="M25" i="8"/>
  <c r="M31" i="8"/>
  <c r="M37" i="8"/>
  <c r="M36" i="8"/>
  <c r="M35" i="8"/>
  <c r="M33" i="8"/>
  <c r="M32" i="8" l="1"/>
  <c r="N25" i="8"/>
  <c r="N33" i="8"/>
  <c r="N36" i="8"/>
  <c r="N37" i="8"/>
  <c r="N31" i="8"/>
  <c r="N35" i="8"/>
  <c r="N32" i="8" l="1"/>
  <c r="C11" i="6" l="1"/>
  <c r="C13" i="6" s="1"/>
  <c r="H33" i="8" l="1"/>
  <c r="H32" i="8" l="1"/>
</calcChain>
</file>

<file path=xl/sharedStrings.xml><?xml version="1.0" encoding="utf-8"?>
<sst xmlns="http://schemas.openxmlformats.org/spreadsheetml/2006/main" count="133" uniqueCount="103">
  <si>
    <t>Owner</t>
  </si>
  <si>
    <t>Status</t>
  </si>
  <si>
    <t>Average Hours Worked Per Day</t>
  </si>
  <si>
    <t>Estimated Completion Date (Burndown)</t>
  </si>
  <si>
    <t>Count of Workitems In Progress</t>
  </si>
  <si>
    <t>Count of Workitems Complete</t>
  </si>
  <si>
    <t>Count of Workitems Pending</t>
  </si>
  <si>
    <t>Time Spent Mask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</si>
  <si>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</si>
  <si>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</si>
  <si>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</si>
  <si>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</si>
  <si>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</si>
  <si>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</si>
  <si>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</si>
  <si>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Date</t>
  </si>
  <si>
    <t>Start Date</t>
  </si>
  <si>
    <t>Estimated Completion Date (Task Completion)</t>
  </si>
  <si>
    <t>M</t>
  </si>
  <si>
    <t>S</t>
  </si>
  <si>
    <t>NAME</t>
  </si>
  <si>
    <t>MOBILE PHONE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</si>
  <si>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</si>
  <si>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</si>
  <si>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</si>
  <si>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</si>
  <si>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</si>
  <si>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</si>
  <si>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</si>
  <si>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</si>
  <si>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</si>
  <si>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</si>
  <si>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</si>
  <si>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</si>
  <si>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</si>
  <si>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</si>
  <si>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</si>
  <si>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</si>
  <si>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</si>
  <si>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</si>
  <si>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</si>
  <si>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</si>
  <si>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</si>
  <si>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</si>
  <si>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Product Backlog Item or Group</t>
  </si>
  <si>
    <t>Work item
ID</t>
  </si>
  <si>
    <t>Sprint Work item Description</t>
  </si>
  <si>
    <t>Totals</t>
  </si>
  <si>
    <t>56A</t>
  </si>
  <si>
    <t>Ephiphania</t>
  </si>
  <si>
    <t>Ephiphania Munava</t>
  </si>
  <si>
    <t>Ephihaniam@gmail.com</t>
  </si>
  <si>
    <t xml:space="preserve">EMAIL </t>
  </si>
  <si>
    <t>ATTENDANCE</t>
  </si>
  <si>
    <t>Lutfiyya Razak</t>
  </si>
  <si>
    <t>Luftiyya.Razak@gmail.com</t>
  </si>
  <si>
    <t>Lerato Molokomme</t>
  </si>
  <si>
    <t>Tsepo</t>
  </si>
  <si>
    <t>Tsepo Ntsaba</t>
  </si>
  <si>
    <t>Patience Mtsweni</t>
  </si>
  <si>
    <t>Potego Mello</t>
  </si>
  <si>
    <t>Group Chat Interface</t>
  </si>
  <si>
    <t>Group Chat</t>
  </si>
  <si>
    <t>User Interface Improvements</t>
  </si>
  <si>
    <t>Voice Recording</t>
  </si>
  <si>
    <t>Environment Setup</t>
  </si>
  <si>
    <t>Secure Group Chat</t>
  </si>
  <si>
    <t>Setup CI</t>
  </si>
  <si>
    <t>Setup CD</t>
  </si>
  <si>
    <t>Team Baobab</t>
  </si>
  <si>
    <t xml:space="preserve">BaobabCos301@gmail.com  </t>
  </si>
  <si>
    <t xml:space="preserve">Therealmrntsaba@gmail.com </t>
  </si>
  <si>
    <t xml:space="preserve">Leratomolokomme@gmail.com </t>
  </si>
  <si>
    <t xml:space="preserve">Zamapm@gmail.com </t>
  </si>
  <si>
    <t xml:space="preserve">Mp.mello5@gmail.com  </t>
  </si>
  <si>
    <t>Complete</t>
  </si>
  <si>
    <t>Install Linux, Android NDK, Android SDK, Android Eclipse ADT, Java 7, C Compiler, Clone Linphone project and Complile Project.</t>
  </si>
  <si>
    <t xml:space="preserve">Continuous Integration with Travis. Create .travis.yml file.  Install any dependencies required. Run build Script and Deploy after. </t>
  </si>
  <si>
    <t xml:space="preserve">Continuous Deployment with Travis. Create .travis.yml file.  Install any dependencies required. Run build Script and Deploy after. </t>
  </si>
  <si>
    <t>Group Chat Button, Group Name and Picture, Select Participants, Chatroom, Group Chat appears on chat list, Group Details, Add Participants.</t>
  </si>
  <si>
    <t>Group Chat, Participants attacted to group, Select Participants, Each member sends and receives messages.</t>
  </si>
  <si>
    <t>Make text bigger, Space between word, Presence Indication(User typing), User profile picture, Block Indents(who said what and when)</t>
  </si>
  <si>
    <t>Make group chat secure.</t>
  </si>
  <si>
    <t>Record, send and receive recording, play recording.</t>
  </si>
  <si>
    <t>ALIASE</t>
  </si>
  <si>
    <t>Luftiyya</t>
  </si>
  <si>
    <t>Lerato</t>
  </si>
  <si>
    <t>Patience</t>
  </si>
  <si>
    <t>Potego</t>
  </si>
  <si>
    <t>Whole Team</t>
  </si>
  <si>
    <t>In Progress</t>
  </si>
  <si>
    <t>Pending</t>
  </si>
  <si>
    <t>Sprint End Date</t>
  </si>
  <si>
    <t>Project End Date</t>
  </si>
  <si>
    <t>Project Start Date</t>
  </si>
  <si>
    <t>Wed</t>
  </si>
  <si>
    <t>Total Percentage Remaining</t>
  </si>
  <si>
    <t>Percentage Worked Today</t>
  </si>
  <si>
    <t>Total Percentage Worked To Date</t>
  </si>
  <si>
    <t>Priority</t>
  </si>
  <si>
    <t>Task Percentage Pending</t>
  </si>
  <si>
    <t>Task Percentage In Progress</t>
  </si>
  <si>
    <t>Task Percentage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</si>
</sst>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36" x14ac:knownFonts="1">
    <font>
      <sz val="10"/>
      <name val="Arial"/>
    </font>
    <font>
      <u/>
      <sz val="10"/>
      <color indexed="12"/>
      <name val="Arial"/>
    </font>
    <font>
      <sz val="8"/>
      <name val="Arial"/>
    </font>
    <font>
      <sz val="10"/>
      <name val="Arial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u/>
      <sz val="8"/>
      <color indexed="12"/>
      <name val="Tahoma"/>
      <family val="2"/>
    </font>
    <font>
      <sz val="10"/>
      <name val="Arial"/>
      <family val="2"/>
    </font>
    <font>
      <sz val="9"/>
      <color indexed="9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gray06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</fills>
  <borders count="6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thick">
        <color indexed="12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double">
        <color indexed="8"/>
      </top>
      <bottom style="thin">
        <color theme="0" tint="-0.499984740745262"/>
      </bottom>
      <diagonal/>
    </border>
    <border>
      <left style="thick">
        <color indexed="12"/>
      </left>
      <right style="thin">
        <color theme="0" tint="-0.499984740745262"/>
      </right>
      <top/>
      <bottom/>
      <diagonal/>
    </border>
  </borders>
  <cellStyleXfs count="45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12" borderId="0" applyNumberFormat="0" applyBorder="0" applyAlignment="0" applyProtection="0"/>
    <xf numFmtId="0" fontId="5" fillId="6" borderId="0" applyNumberFormat="0" applyBorder="0" applyAlignment="0" applyProtection="0"/>
    <xf numFmtId="0" fontId="5" fillId="13" borderId="0" applyNumberFormat="0" applyBorder="0" applyAlignment="0" applyProtection="0"/>
    <xf numFmtId="0" fontId="4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1" applyNumberFormat="0" applyAlignment="0" applyProtection="0"/>
    <xf numFmtId="0" fontId="8" fillId="8" borderId="2" applyNumberForma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10" fillId="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4" fillId="13" borderId="1" applyNumberFormat="0" applyAlignment="0" applyProtection="0"/>
    <xf numFmtId="0" fontId="15" fillId="0" borderId="6" applyNumberFormat="0" applyFill="0" applyAlignment="0" applyProtection="0"/>
    <xf numFmtId="0" fontId="16" fillId="19" borderId="0" applyNumberFormat="0" applyBorder="0" applyAlignment="0" applyProtection="0"/>
    <xf numFmtId="0" fontId="3" fillId="6" borderId="7" applyNumberFormat="0" applyFont="0" applyAlignment="0" applyProtection="0"/>
    <xf numFmtId="0" fontId="17" fillId="15" borderId="8" applyNumberFormat="0" applyAlignment="0" applyProtection="0"/>
    <xf numFmtId="0" fontId="18" fillId="0" borderId="0" applyNumberFormat="0" applyFill="0" applyBorder="0" applyAlignment="0" applyProtection="0"/>
    <xf numFmtId="0" fontId="9" fillId="0" borderId="9" applyNumberFormat="0" applyFill="0" applyAlignment="0" applyProtection="0"/>
    <xf numFmtId="0" fontId="19" fillId="0" borderId="0" applyNumberFormat="0" applyFill="0" applyBorder="0" applyAlignment="0" applyProtection="0"/>
  </cellStyleXfs>
  <cellXfs count="160">
    <xf numFmtId="0" fontId="0" fillId="0" borderId="0" xfId="0"/>
    <xf numFmtId="0" fontId="21" fillId="20" borderId="0" xfId="0" applyFont="1" applyFill="1"/>
    <xf numFmtId="0" fontId="22" fillId="20" borderId="0" xfId="36" applyFont="1" applyFill="1" applyAlignment="1" applyProtection="1"/>
    <xf numFmtId="0" fontId="23" fillId="20" borderId="0" xfId="0" applyFont="1" applyFill="1" applyAlignment="1">
      <alignment horizontal="right"/>
    </xf>
    <xf numFmtId="164" fontId="23" fillId="20" borderId="0" xfId="0" applyNumberFormat="1" applyFont="1" applyFill="1"/>
    <xf numFmtId="0" fontId="24" fillId="0" borderId="0" xfId="0" applyFont="1"/>
    <xf numFmtId="0" fontId="21" fillId="20" borderId="0" xfId="0" applyFont="1" applyFill="1" applyAlignment="1">
      <alignment horizontal="left" wrapText="1"/>
    </xf>
    <xf numFmtId="49" fontId="20" fillId="0" borderId="10" xfId="0" applyNumberFormat="1" applyFont="1" applyFill="1" applyBorder="1" applyAlignment="1">
      <alignment horizontal="left" indent="1"/>
    </xf>
    <xf numFmtId="0" fontId="20" fillId="0" borderId="11" xfId="0" applyNumberFormat="1" applyFont="1" applyFill="1" applyBorder="1" applyAlignment="1">
      <alignment horizontal="left" indent="1"/>
    </xf>
    <xf numFmtId="0" fontId="20" fillId="21" borderId="12" xfId="0" applyFont="1" applyFill="1" applyBorder="1" applyAlignment="1">
      <alignment horizontal="center"/>
    </xf>
    <xf numFmtId="165" fontId="20" fillId="0" borderId="0" xfId="0" applyNumberFormat="1" applyFont="1" applyBorder="1"/>
    <xf numFmtId="0" fontId="20" fillId="20" borderId="0" xfId="0" applyFont="1" applyFill="1" applyBorder="1"/>
    <xf numFmtId="0" fontId="21" fillId="20" borderId="0" xfId="0" applyFont="1" applyFill="1" applyBorder="1"/>
    <xf numFmtId="0" fontId="26" fillId="20" borderId="0" xfId="0" applyFont="1" applyFill="1" applyBorder="1"/>
    <xf numFmtId="0" fontId="27" fillId="20" borderId="0" xfId="0" applyFont="1" applyFill="1" applyBorder="1"/>
    <xf numFmtId="14" fontId="26" fillId="20" borderId="0" xfId="0" applyNumberFormat="1" applyFont="1" applyFill="1" applyBorder="1"/>
    <xf numFmtId="1" fontId="20" fillId="20" borderId="0" xfId="0" applyNumberFormat="1" applyFont="1" applyFill="1"/>
    <xf numFmtId="0" fontId="28" fillId="20" borderId="0" xfId="0" applyFont="1" applyFill="1" applyBorder="1"/>
    <xf numFmtId="0" fontId="24" fillId="0" borderId="0" xfId="0" applyFont="1" applyBorder="1"/>
    <xf numFmtId="0" fontId="24" fillId="21" borderId="0" xfId="0" applyFont="1" applyFill="1"/>
    <xf numFmtId="0" fontId="20" fillId="21" borderId="0" xfId="0" applyFont="1" applyFill="1"/>
    <xf numFmtId="0" fontId="29" fillId="21" borderId="13" xfId="0" applyFont="1" applyFill="1" applyBorder="1"/>
    <xf numFmtId="0" fontId="20" fillId="21" borderId="14" xfId="0" applyFont="1" applyFill="1" applyBorder="1"/>
    <xf numFmtId="0" fontId="24" fillId="21" borderId="14" xfId="0" applyFont="1" applyFill="1" applyBorder="1"/>
    <xf numFmtId="169" fontId="24" fillId="22" borderId="15" xfId="0" applyNumberFormat="1" applyFont="1" applyFill="1" applyBorder="1"/>
    <xf numFmtId="0" fontId="29" fillId="21" borderId="16" xfId="0" applyFont="1" applyFill="1" applyBorder="1"/>
    <xf numFmtId="0" fontId="20" fillId="21" borderId="17" xfId="0" applyFont="1" applyFill="1" applyBorder="1"/>
    <xf numFmtId="169" fontId="24" fillId="21" borderId="17" xfId="0" applyNumberFormat="1" applyFont="1" applyFill="1" applyBorder="1"/>
    <xf numFmtId="14" fontId="24" fillId="21" borderId="0" xfId="0" applyNumberFormat="1" applyFont="1" applyFill="1"/>
    <xf numFmtId="0" fontId="30" fillId="21" borderId="0" xfId="0" applyNumberFormat="1" applyFont="1" applyFill="1" applyBorder="1" applyAlignment="1">
      <alignment horizontal="center"/>
    </xf>
    <xf numFmtId="0" fontId="31" fillId="21" borderId="19" xfId="0" applyFont="1" applyFill="1" applyBorder="1" applyAlignment="1">
      <alignment horizontal="center"/>
    </xf>
    <xf numFmtId="0" fontId="24" fillId="21" borderId="20" xfId="0" applyFont="1" applyFill="1" applyBorder="1" applyAlignment="1"/>
    <xf numFmtId="0" fontId="28" fillId="21" borderId="20" xfId="0" applyFont="1" applyFill="1" applyBorder="1" applyAlignment="1"/>
    <xf numFmtId="0" fontId="28" fillId="21" borderId="19" xfId="0" applyFont="1" applyFill="1" applyBorder="1" applyAlignment="1"/>
    <xf numFmtId="0" fontId="28" fillId="21" borderId="21" xfId="0" applyFont="1" applyFill="1" applyBorder="1" applyAlignment="1"/>
    <xf numFmtId="49" fontId="32" fillId="21" borderId="22" xfId="0" applyNumberFormat="1" applyFont="1" applyFill="1" applyBorder="1" applyAlignment="1">
      <alignment horizontal="left" vertical="top" wrapText="1"/>
    </xf>
    <xf numFmtId="0" fontId="24" fillId="21" borderId="0" xfId="0" applyFont="1" applyFill="1" applyBorder="1" applyAlignment="1">
      <alignment horizontal="center" vertical="top" wrapText="1"/>
    </xf>
    <xf numFmtId="0" fontId="20" fillId="21" borderId="0" xfId="0" applyFont="1" applyFill="1" applyBorder="1" applyAlignment="1">
      <alignment vertical="top" wrapText="1"/>
    </xf>
    <xf numFmtId="0" fontId="32" fillId="21" borderId="0" xfId="0" applyFont="1" applyFill="1" applyBorder="1" applyAlignment="1">
      <alignment wrapText="1"/>
    </xf>
    <xf numFmtId="0" fontId="24" fillId="21" borderId="0" xfId="0" applyFont="1" applyFill="1" applyBorder="1" applyAlignment="1">
      <alignment wrapText="1"/>
    </xf>
    <xf numFmtId="165" fontId="32" fillId="21" borderId="23" xfId="0" applyNumberFormat="1" applyFont="1" applyFill="1" applyBorder="1" applyAlignment="1">
      <alignment horizontal="center" wrapText="1"/>
    </xf>
    <xf numFmtId="16" fontId="24" fillId="0" borderId="24" xfId="0" applyNumberFormat="1" applyFont="1" applyBorder="1" applyAlignment="1">
      <alignment horizontal="center"/>
    </xf>
    <xf numFmtId="167" fontId="24" fillId="23" borderId="25" xfId="0" applyNumberFormat="1" applyFont="1" applyFill="1" applyBorder="1" applyAlignment="1">
      <alignment horizontal="center"/>
    </xf>
    <xf numFmtId="167" fontId="24" fillId="24" borderId="25" xfId="0" applyNumberFormat="1" applyFont="1" applyFill="1" applyBorder="1" applyAlignment="1">
      <alignment horizontal="center"/>
    </xf>
    <xf numFmtId="16" fontId="24" fillId="23" borderId="24" xfId="0" applyNumberFormat="1" applyFont="1" applyFill="1" applyBorder="1" applyAlignment="1">
      <alignment horizontal="center"/>
    </xf>
    <xf numFmtId="49" fontId="24" fillId="21" borderId="22" xfId="0" applyNumberFormat="1" applyFont="1" applyFill="1" applyBorder="1" applyAlignment="1">
      <alignment horizontal="left" vertical="top" wrapText="1"/>
    </xf>
    <xf numFmtId="0" fontId="24" fillId="21" borderId="0" xfId="0" applyFont="1" applyFill="1" applyBorder="1" applyAlignment="1">
      <alignment vertical="top" wrapText="1"/>
    </xf>
    <xf numFmtId="0" fontId="29" fillId="21" borderId="0" xfId="0" applyFont="1" applyFill="1" applyBorder="1" applyAlignment="1">
      <alignment horizontal="center" wrapText="1"/>
    </xf>
    <xf numFmtId="0" fontId="29" fillId="21" borderId="23" xfId="0" applyFont="1" applyFill="1" applyBorder="1" applyAlignment="1">
      <alignment horizontal="center" wrapText="1"/>
    </xf>
    <xf numFmtId="0" fontId="24" fillId="0" borderId="26" xfId="0" applyFont="1" applyBorder="1" applyAlignment="1">
      <alignment horizontal="center"/>
    </xf>
    <xf numFmtId="0" fontId="24" fillId="0" borderId="27" xfId="0" applyFont="1" applyBorder="1" applyAlignment="1">
      <alignment horizontal="center"/>
    </xf>
    <xf numFmtId="0" fontId="24" fillId="24" borderId="27" xfId="0" applyFont="1" applyFill="1" applyBorder="1" applyAlignment="1">
      <alignment horizontal="center"/>
    </xf>
    <xf numFmtId="0" fontId="24" fillId="24" borderId="28" xfId="0" applyFont="1" applyFill="1" applyBorder="1" applyAlignment="1">
      <alignment horizontal="center"/>
    </xf>
    <xf numFmtId="49" fontId="32" fillId="21" borderId="29" xfId="0" applyNumberFormat="1" applyFont="1" applyFill="1" applyBorder="1" applyAlignment="1">
      <alignment horizontal="left" vertical="top" wrapText="1"/>
    </xf>
    <xf numFmtId="166" fontId="24" fillId="21" borderId="11" xfId="0" applyNumberFormat="1" applyFont="1" applyFill="1" applyBorder="1" applyAlignment="1">
      <alignment horizontal="center" vertical="top" wrapText="1"/>
    </xf>
    <xf numFmtId="1" fontId="20" fillId="21" borderId="0" xfId="0" applyNumberFormat="1" applyFont="1" applyFill="1" applyBorder="1" applyAlignment="1">
      <alignment horizontal="left" vertical="top" wrapText="1"/>
    </xf>
    <xf numFmtId="0" fontId="20" fillId="21" borderId="30" xfId="0" applyFont="1" applyFill="1" applyBorder="1" applyAlignment="1">
      <alignment horizontal="center"/>
    </xf>
    <xf numFmtId="9" fontId="24" fillId="21" borderId="30" xfId="0" applyNumberFormat="1" applyFont="1" applyFill="1" applyBorder="1" applyAlignment="1">
      <alignment horizontal="center"/>
    </xf>
    <xf numFmtId="165" fontId="24" fillId="21" borderId="30" xfId="0" applyNumberFormat="1" applyFont="1" applyFill="1" applyBorder="1" applyAlignment="1">
      <alignment horizontal="center"/>
    </xf>
    <xf numFmtId="165" fontId="24" fillId="21" borderId="31" xfId="0" applyNumberFormat="1" applyFont="1" applyFill="1" applyBorder="1"/>
    <xf numFmtId="0" fontId="24" fillId="25" borderId="32" xfId="0" applyFont="1" applyFill="1" applyBorder="1" applyAlignment="1">
      <alignment horizontal="center"/>
    </xf>
    <xf numFmtId="0" fontId="24" fillId="25" borderId="15" xfId="0" applyFont="1" applyFill="1" applyBorder="1" applyAlignment="1">
      <alignment horizontal="center"/>
    </xf>
    <xf numFmtId="49" fontId="24" fillId="21" borderId="29" xfId="0" applyNumberFormat="1" applyFont="1" applyFill="1" applyBorder="1" applyAlignment="1">
      <alignment horizontal="left" vertical="top" wrapText="1"/>
    </xf>
    <xf numFmtId="9" fontId="20" fillId="21" borderId="0" xfId="0" applyNumberFormat="1" applyFont="1" applyFill="1" applyBorder="1" applyAlignment="1">
      <alignment horizontal="left" vertical="top" wrapText="1"/>
    </xf>
    <xf numFmtId="9" fontId="24" fillId="21" borderId="12" xfId="0" applyNumberFormat="1" applyFont="1" applyFill="1" applyBorder="1" applyAlignment="1">
      <alignment horizontal="center"/>
    </xf>
    <xf numFmtId="0" fontId="24" fillId="21" borderId="29" xfId="0" applyFont="1" applyFill="1" applyBorder="1" applyAlignment="1">
      <alignment horizontal="center"/>
    </xf>
    <xf numFmtId="0" fontId="24" fillId="21" borderId="11" xfId="0" applyFont="1" applyFill="1" applyBorder="1" applyAlignment="1">
      <alignment horizontal="center"/>
    </xf>
    <xf numFmtId="0" fontId="24" fillId="25" borderId="33" xfId="0" applyFont="1" applyFill="1" applyBorder="1" applyAlignment="1">
      <alignment horizontal="center"/>
    </xf>
    <xf numFmtId="0" fontId="24" fillId="25" borderId="34" xfId="0" applyFont="1" applyFill="1" applyBorder="1" applyAlignment="1">
      <alignment horizontal="center"/>
    </xf>
    <xf numFmtId="49" fontId="24" fillId="24" borderId="29" xfId="0" applyNumberFormat="1" applyFont="1" applyFill="1" applyBorder="1" applyAlignment="1">
      <alignment horizontal="left" vertical="top" wrapText="1"/>
    </xf>
    <xf numFmtId="166" fontId="24" fillId="24" borderId="11" xfId="0" applyNumberFormat="1" applyFont="1" applyFill="1" applyBorder="1" applyAlignment="1">
      <alignment horizontal="center" vertical="top" wrapText="1"/>
    </xf>
    <xf numFmtId="0" fontId="24" fillId="21" borderId="22" xfId="0" applyFont="1" applyFill="1" applyBorder="1"/>
    <xf numFmtId="166" fontId="20" fillId="21" borderId="0" xfId="0" applyNumberFormat="1" applyFont="1" applyFill="1" applyBorder="1" applyAlignment="1">
      <alignment horizontal="left" vertical="top" wrapText="1"/>
    </xf>
    <xf numFmtId="0" fontId="20" fillId="21" borderId="0" xfId="0" applyFont="1" applyFill="1" applyBorder="1"/>
    <xf numFmtId="0" fontId="24" fillId="21" borderId="0" xfId="0" applyFont="1" applyFill="1" applyBorder="1"/>
    <xf numFmtId="0" fontId="24" fillId="21" borderId="0" xfId="0" applyFont="1" applyFill="1" applyBorder="1" applyAlignment="1">
      <alignment horizontal="center"/>
    </xf>
    <xf numFmtId="1" fontId="24" fillId="21" borderId="23" xfId="0" applyNumberFormat="1" applyFont="1" applyFill="1" applyBorder="1" applyAlignment="1">
      <alignment wrapText="1"/>
    </xf>
    <xf numFmtId="0" fontId="24" fillId="26" borderId="24" xfId="0" applyFont="1" applyFill="1" applyBorder="1"/>
    <xf numFmtId="0" fontId="24" fillId="26" borderId="25" xfId="0" applyFont="1" applyFill="1" applyBorder="1"/>
    <xf numFmtId="0" fontId="24" fillId="26" borderId="0" xfId="0" applyFont="1" applyFill="1" applyBorder="1"/>
    <xf numFmtId="0" fontId="32" fillId="26" borderId="0" xfId="0" applyFont="1" applyFill="1" applyBorder="1" applyAlignment="1">
      <alignment horizontal="center"/>
    </xf>
    <xf numFmtId="0" fontId="32" fillId="26" borderId="23" xfId="0" applyFont="1" applyFill="1" applyBorder="1" applyAlignment="1">
      <alignment horizontal="center"/>
    </xf>
    <xf numFmtId="0" fontId="20" fillId="21" borderId="35" xfId="0" applyFont="1" applyFill="1" applyBorder="1"/>
    <xf numFmtId="0" fontId="20" fillId="21" borderId="36" xfId="0" applyFont="1" applyFill="1" applyBorder="1"/>
    <xf numFmtId="0" fontId="24" fillId="21" borderId="36" xfId="0" applyFont="1" applyFill="1" applyBorder="1"/>
    <xf numFmtId="0" fontId="24" fillId="21" borderId="37" xfId="0" applyFont="1" applyFill="1" applyBorder="1"/>
    <xf numFmtId="0" fontId="24" fillId="21" borderId="35" xfId="0" applyFont="1" applyFill="1" applyBorder="1"/>
    <xf numFmtId="0" fontId="24" fillId="26" borderId="36" xfId="0" applyFont="1" applyFill="1" applyBorder="1"/>
    <xf numFmtId="0" fontId="24" fillId="27" borderId="0" xfId="0" applyFont="1" applyFill="1" applyAlignment="1">
      <alignment horizontal="center"/>
    </xf>
    <xf numFmtId="16" fontId="20" fillId="21" borderId="0" xfId="0" applyNumberFormat="1" applyFont="1" applyFill="1"/>
    <xf numFmtId="168" fontId="24" fillId="21" borderId="0" xfId="0" applyNumberFormat="1" applyFont="1" applyFill="1"/>
    <xf numFmtId="16" fontId="24" fillId="21" borderId="0" xfId="0" applyNumberFormat="1" applyFont="1" applyFill="1"/>
    <xf numFmtId="0" fontId="24" fillId="21" borderId="0" xfId="0" quotePrefix="1" applyFont="1" applyFill="1" applyAlignment="1">
      <alignment horizontal="left"/>
    </xf>
    <xf numFmtId="0" fontId="24" fillId="21" borderId="0" xfId="0" applyFont="1" applyFill="1" applyAlignment="1">
      <alignment horizontal="center"/>
    </xf>
    <xf numFmtId="14" fontId="20" fillId="21" borderId="0" xfId="0" applyNumberFormat="1" applyFont="1" applyFill="1"/>
    <xf numFmtId="0" fontId="29" fillId="21" borderId="0" xfId="0" applyFont="1" applyFill="1"/>
    <xf numFmtId="0" fontId="29" fillId="28" borderId="38" xfId="0" applyFont="1" applyFill="1" applyBorder="1" applyAlignment="1">
      <alignment horizontal="center"/>
    </xf>
    <xf numFmtId="0" fontId="29" fillId="28" borderId="39" xfId="0" applyFont="1" applyFill="1" applyBorder="1" applyAlignment="1">
      <alignment horizontal="left"/>
    </xf>
    <xf numFmtId="0" fontId="29" fillId="28" borderId="40" xfId="0" applyFont="1" applyFill="1" applyBorder="1" applyAlignment="1">
      <alignment horizontal="center"/>
    </xf>
    <xf numFmtId="0" fontId="29" fillId="28" borderId="41" xfId="0" applyFont="1" applyFill="1" applyBorder="1" applyAlignment="1">
      <alignment horizontal="center"/>
    </xf>
    <xf numFmtId="0" fontId="29" fillId="28" borderId="42" xfId="0" applyFont="1" applyFill="1" applyBorder="1" applyAlignment="1">
      <alignment horizontal="center"/>
    </xf>
    <xf numFmtId="0" fontId="29" fillId="28" borderId="43" xfId="0" applyFont="1" applyFill="1" applyBorder="1" applyAlignment="1">
      <alignment horizontal="left"/>
    </xf>
    <xf numFmtId="0" fontId="29" fillId="28" borderId="44" xfId="0" applyFont="1" applyFill="1" applyBorder="1" applyAlignment="1">
      <alignment horizontal="center"/>
    </xf>
    <xf numFmtId="0" fontId="29" fillId="28" borderId="45" xfId="0" applyFont="1" applyFill="1" applyBorder="1" applyAlignment="1">
      <alignment horizontal="center"/>
    </xf>
    <xf numFmtId="0" fontId="20" fillId="28" borderId="46" xfId="0" applyFont="1" applyFill="1" applyBorder="1" applyAlignment="1">
      <alignment horizontal="left"/>
    </xf>
    <xf numFmtId="0" fontId="20" fillId="28" borderId="48" xfId="0" applyFont="1" applyFill="1" applyBorder="1" applyAlignment="1">
      <alignment horizontal="left"/>
    </xf>
    <xf numFmtId="0" fontId="33" fillId="28" borderId="49" xfId="36" applyFont="1" applyFill="1" applyBorder="1" applyAlignment="1" applyProtection="1">
      <alignment horizontal="left"/>
    </xf>
    <xf numFmtId="0" fontId="20" fillId="28" borderId="42" xfId="0" applyFont="1" applyFill="1" applyBorder="1" applyAlignment="1">
      <alignment horizontal="left"/>
    </xf>
    <xf numFmtId="0" fontId="20" fillId="28" borderId="43" xfId="0" applyFont="1" applyFill="1" applyBorder="1" applyAlignment="1">
      <alignment horizontal="left"/>
    </xf>
    <xf numFmtId="0" fontId="33" fillId="28" borderId="45" xfId="36" applyFont="1" applyFill="1" applyBorder="1" applyAlignment="1" applyProtection="1">
      <alignment horizontal="left"/>
    </xf>
    <xf numFmtId="0" fontId="20" fillId="28" borderId="42" xfId="0" applyFont="1" applyFill="1" applyBorder="1" applyAlignment="1">
      <alignment wrapText="1"/>
    </xf>
    <xf numFmtId="0" fontId="20" fillId="0" borderId="50" xfId="0" applyFont="1" applyFill="1" applyBorder="1"/>
    <xf numFmtId="0" fontId="20" fillId="0" borderId="51" xfId="0" applyFont="1" applyFill="1" applyBorder="1" applyAlignment="1">
      <alignment horizontal="left" vertical="top"/>
    </xf>
    <xf numFmtId="0" fontId="20" fillId="0" borderId="52" xfId="0" applyFont="1" applyFill="1" applyBorder="1" applyAlignment="1">
      <alignment horizontal="left"/>
    </xf>
    <xf numFmtId="0" fontId="20" fillId="0" borderId="53" xfId="0" applyFont="1" applyBorder="1" applyAlignment="1">
      <alignment horizontal="left"/>
    </xf>
    <xf numFmtId="169" fontId="24" fillId="21" borderId="0" xfId="0" applyNumberFormat="1" applyFont="1" applyFill="1"/>
    <xf numFmtId="0" fontId="25" fillId="0" borderId="0" xfId="36" applyFont="1" applyAlignment="1" applyProtection="1"/>
    <xf numFmtId="0" fontId="29" fillId="0" borderId="0" xfId="0" applyFont="1" applyBorder="1"/>
    <xf numFmtId="9" fontId="20" fillId="0" borderId="0" xfId="0" applyNumberFormat="1" applyFont="1" applyBorder="1"/>
    <xf numFmtId="0" fontId="20" fillId="0" borderId="0" xfId="0" applyFont="1" applyBorder="1"/>
    <xf numFmtId="0" fontId="20" fillId="0" borderId="0" xfId="0" applyFont="1" applyFill="1" applyBorder="1"/>
    <xf numFmtId="0" fontId="20" fillId="29" borderId="0" xfId="0" applyFont="1" applyFill="1" applyBorder="1"/>
    <xf numFmtId="164" fontId="20" fillId="0" borderId="0" xfId="0" applyNumberFormat="1" applyFont="1" applyBorder="1"/>
    <xf numFmtId="164" fontId="20" fillId="0" borderId="0" xfId="0" applyNumberFormat="1" applyFont="1" applyFill="1" applyBorder="1"/>
    <xf numFmtId="164" fontId="20" fillId="29" borderId="0" xfId="0" applyNumberFormat="1" applyFont="1" applyFill="1" applyBorder="1"/>
    <xf numFmtId="0" fontId="20" fillId="0" borderId="0" xfId="0" applyFont="1"/>
    <xf numFmtId="0" fontId="21" fillId="0" borderId="0" xfId="0" applyFont="1" applyBorder="1"/>
    <xf numFmtId="0" fontId="29" fillId="0" borderId="0" xfId="0" applyFont="1"/>
    <xf numFmtId="0" fontId="20" fillId="29" borderId="0" xfId="0" applyFont="1" applyFill="1"/>
    <xf numFmtId="165" fontId="20" fillId="0" borderId="0" xfId="0" applyNumberFormat="1" applyFont="1" applyFill="1" applyBorder="1"/>
    <xf numFmtId="165" fontId="20" fillId="29" borderId="0" xfId="0" applyNumberFormat="1" applyFont="1" applyFill="1" applyBorder="1"/>
    <xf numFmtId="164" fontId="20" fillId="0" borderId="0" xfId="0" applyNumberFormat="1" applyFont="1"/>
    <xf numFmtId="164" fontId="20" fillId="29" borderId="0" xfId="0" applyNumberFormat="1" applyFont="1" applyFill="1"/>
    <xf numFmtId="1" fontId="20" fillId="0" borderId="0" xfId="0" applyNumberFormat="1" applyFont="1"/>
    <xf numFmtId="1" fontId="20" fillId="0" borderId="0" xfId="0" applyNumberFormat="1" applyFont="1" applyFill="1" applyBorder="1"/>
    <xf numFmtId="1" fontId="20" fillId="29" borderId="0" xfId="0" applyNumberFormat="1" applyFont="1" applyFill="1"/>
    <xf numFmtId="0" fontId="31" fillId="20" borderId="19" xfId="0" applyFont="1" applyFill="1" applyBorder="1" applyAlignment="1">
      <alignment horizontal="center"/>
    </xf>
    <xf numFmtId="0" fontId="31" fillId="20" borderId="20" xfId="0" applyFont="1" applyFill="1" applyBorder="1" applyAlignment="1">
      <alignment horizontal="center"/>
    </xf>
    <xf numFmtId="0" fontId="31" fillId="20" borderId="21" xfId="0" applyFont="1" applyFill="1" applyBorder="1" applyAlignment="1">
      <alignment horizontal="center"/>
    </xf>
    <xf numFmtId="16" fontId="32" fillId="21" borderId="24" xfId="0" applyNumberFormat="1" applyFont="1" applyFill="1" applyBorder="1" applyAlignment="1">
      <alignment horizontal="center"/>
    </xf>
    <xf numFmtId="16" fontId="32" fillId="21" borderId="25" xfId="0" applyNumberFormat="1" applyFont="1" applyFill="1" applyBorder="1" applyAlignment="1">
      <alignment horizontal="center"/>
    </xf>
    <xf numFmtId="16" fontId="32" fillId="21" borderId="54" xfId="0" applyNumberFormat="1" applyFont="1" applyFill="1" applyBorder="1" applyAlignment="1">
      <alignment horizontal="center"/>
    </xf>
    <xf numFmtId="0" fontId="32" fillId="26" borderId="55" xfId="0" applyFont="1" applyFill="1" applyBorder="1" applyAlignment="1">
      <alignment horizontal="center"/>
    </xf>
    <xf numFmtId="0" fontId="32" fillId="26" borderId="56" xfId="0" applyFont="1" applyFill="1" applyBorder="1" applyAlignment="1">
      <alignment horizontal="center"/>
    </xf>
    <xf numFmtId="0" fontId="32" fillId="26" borderId="57" xfId="0" applyFont="1" applyFill="1" applyBorder="1" applyAlignment="1">
      <alignment horizontal="center"/>
    </xf>
    <xf numFmtId="0" fontId="24" fillId="21" borderId="26" xfId="0" applyFont="1" applyFill="1" applyBorder="1" applyAlignment="1">
      <alignment horizontal="center"/>
    </xf>
    <xf numFmtId="0" fontId="24" fillId="21" borderId="27" xfId="0" applyFont="1" applyFill="1" applyBorder="1" applyAlignment="1">
      <alignment horizontal="center"/>
    </xf>
    <xf numFmtId="0" fontId="24" fillId="21" borderId="28" xfId="0" applyFont="1" applyFill="1" applyBorder="1" applyAlignment="1">
      <alignment horizontal="center"/>
    </xf>
    <xf numFmtId="0" fontId="1" fillId="28" borderId="47" xfId="36" applyFill="1" applyBorder="1" applyAlignment="1" applyProtection="1">
      <alignment horizontal="left"/>
    </xf>
    <xf numFmtId="0" fontId="1" fillId="28" borderId="44" xfId="36" applyFill="1" applyBorder="1" applyAlignment="1" applyProtection="1">
      <alignment horizontal="left" wrapText="1"/>
    </xf>
    <xf numFmtId="0" fontId="1" fillId="28" borderId="43" xfId="36" applyFill="1" applyBorder="1" applyAlignment="1" applyProtection="1">
      <alignment wrapText="1"/>
    </xf>
    <xf numFmtId="0" fontId="1" fillId="28" borderId="44" xfId="36" applyFill="1" applyBorder="1" applyAlignment="1" applyProtection="1">
      <alignment horizontal="left"/>
    </xf>
    <xf numFmtId="49" fontId="20" fillId="0" borderId="11" xfId="0" applyNumberFormat="1" applyFont="1" applyFill="1" applyBorder="1" applyAlignment="1">
      <alignment horizontal="left" wrapText="1" indent="2"/>
    </xf>
    <xf numFmtId="49" fontId="35" fillId="0" borderId="0" xfId="0" applyNumberFormat="1" applyFont="1"/>
    <xf numFmtId="169" fontId="24" fillId="30" borderId="18" xfId="0" applyNumberFormat="1" applyFont="1" applyFill="1" applyBorder="1"/>
    <xf numFmtId="0" fontId="34" fillId="31" borderId="0" xfId="0" applyFont="1" applyFill="1"/>
    <xf numFmtId="0" fontId="0" fillId="31" borderId="0" xfId="0" applyFill="1"/>
    <xf numFmtId="0" fontId="29" fillId="28" borderId="58" xfId="0" applyFont="1" applyFill="1" applyBorder="1" applyAlignment="1">
      <alignment horizontal="left"/>
    </xf>
    <xf numFmtId="0" fontId="20" fillId="28" borderId="59" xfId="0" applyFont="1" applyFill="1" applyBorder="1" applyAlignment="1">
      <alignment horizontal="left"/>
    </xf>
    <xf numFmtId="0" fontId="21" fillId="20" borderId="0" xfId="0" applyFont="1" applyFill="1" applyAlignment="1"/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68"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99"/>
      <color rgb="FFFF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820495514983709"/>
          <c:y val="6.86503243698311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26840875659777"/>
          <c:y val="0.24528341504481754"/>
          <c:w val="0.58462818951754747"/>
          <c:h val="0.4415102474761339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Analysis!$E$19:$N$19</c15:sqref>
                  </c15:fullRef>
                </c:ext>
              </c:extLst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Analysis!$E$37:$AH$37</c15:sqref>
                  </c15:fullRef>
                </c:ext>
              </c:extLst>
              <c:f>Analysis!$E$37:$N$37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Analysis!$E$19:$N$19</c15:sqref>
                  </c15:fullRef>
                </c:ext>
              </c:extLst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Analysis!$E$36:$AH$36</c15:sqref>
                  </c15:fullRef>
                </c:ext>
              </c:extLst>
              <c:f>Analysis!$E$36:$N$36</c:f>
              <c:numCache>
                <c:formatCode>General</c:formatCode>
                <c:ptCount val="10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Analysis!$E$19:$N$19</c15:sqref>
                  </c15:fullRef>
                </c:ext>
              </c:extLst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Analysis!$E$35:$AH$35</c15:sqref>
                  </c15:fullRef>
                </c:ext>
              </c:extLst>
              <c:f>Analysis!$E$35:$N$35</c:f>
              <c:numCache>
                <c:formatCode>General</c:formatCode>
                <c:ptCount val="10"/>
                <c:pt idx="0">
                  <c:v>7</c:v>
                </c:pt>
                <c:pt idx="1">
                  <c:v>5</c:v>
                </c:pt>
                <c:pt idx="2">
                  <c:v>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741544"/>
        <c:axId val="294738408"/>
      </c:areaChart>
      <c:catAx>
        <c:axId val="294741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8552437223042862"/>
              <c:y val="0.860576923076922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9473840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2947384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 Items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94741544"/>
        <c:crossesAt val="1"/>
        <c:crossBetween val="midCat"/>
        <c:majorUnit val="2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73776562545066482"/>
          <c:y val="0.24485356311593126"/>
          <c:w val="0.20500798938594222"/>
          <c:h val="0.4674709057594218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2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1861310993504"/>
          <c:y val="0.1729323308270678"/>
          <c:w val="0.72106640804940825"/>
          <c:h val="0.47368421052631576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Analysis!$E$19:$N$19</c15:sqref>
                  </c15:fullRef>
                </c:ext>
              </c:extLst>
              <c:f>(Analysis!$E$19:$G$19,Analysis!$I$19:$N$19)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Analysis!$E$33:$AH$33</c15:sqref>
                  </c15:fullRef>
                </c:ext>
              </c:extLst>
              <c:f>(Analysis!$E$33:$G$33,Analysis!$I$33:$N$33)</c:f>
              <c:numCache>
                <c:formatCode>General</c:formatCode>
                <c:ptCount val="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Analysis!$E$19:$N$19</c15:sqref>
                  </c15:fullRef>
                </c:ext>
              </c:extLst>
              <c:f>(Analysis!$E$19:$G$19,Analysis!$I$19:$N$19)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Analysis!$E$32:$AH$32</c15:sqref>
                  </c15:fullRef>
                </c:ext>
              </c:extLst>
              <c:f>(Analysis!$E$32:$G$32,Analysis!$I$32:$N$32)</c:f>
              <c:numCache>
                <c:formatCode>0</c:formatCode>
                <c:ptCount val="9"/>
                <c:pt idx="0">
                  <c:v>0</c:v>
                </c:pt>
                <c:pt idx="1">
                  <c:v>25</c:v>
                </c:pt>
                <c:pt idx="2">
                  <c:v>79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Analysis!$E$19:$N$19</c15:sqref>
                  </c15:fullRef>
                </c:ext>
              </c:extLst>
              <c:f>(Analysis!$E$19:$G$19,Analysis!$I$19:$N$19)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Analysis!$E$31:$AH$31</c15:sqref>
                  </c15:fullRef>
                </c:ext>
              </c:extLst>
              <c:f>(Analysis!$E$31:$G$31,Analysis!$I$31:$N$31)</c:f>
              <c:numCache>
                <c:formatCode>General</c:formatCode>
                <c:ptCount val="9"/>
                <c:pt idx="0">
                  <c:v>88</c:v>
                </c:pt>
                <c:pt idx="1">
                  <c:v>79</c:v>
                </c:pt>
                <c:pt idx="2">
                  <c:v>25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738800"/>
        <c:axId val="29473409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>
              <a:solidFill>
                <a:schemeClr val="accent2"/>
              </a:solidFill>
            </a:ln>
          </c:spPr>
          <c:marker>
            <c:spPr>
              <a:ln>
                <a:solidFill>
                  <a:srgbClr val="C0504D"/>
                </a:solidFill>
              </a:ln>
            </c:spPr>
          </c:marker>
          <c:trendline>
            <c:trendlineType val="linear"/>
            <c:dispRSqr val="0"/>
            <c:dispEq val="0"/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Analysis!$E$19:$AH$19</c15:sqref>
                  </c15:fullRef>
                </c:ext>
              </c:extLst>
              <c:f>(Analysis!$E$19:$G$19,Analysis!$I$19:$N$19)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Analysis!$E$22:$AH$22</c15:sqref>
                  </c15:fullRef>
                </c:ext>
              </c:extLst>
              <c:f>(Analysis!$E$22:$G$22,Analysis!$I$22:$N$22)</c:f>
              <c:numCache>
                <c:formatCode>General</c:formatCode>
                <c:ptCount val="9"/>
                <c:pt idx="0">
                  <c:v>90</c:v>
                </c:pt>
                <c:pt idx="1">
                  <c:v>80</c:v>
                </c:pt>
                <c:pt idx="2">
                  <c:v>70</c:v>
                </c:pt>
                <c:pt idx="3">
                  <c:v>50</c:v>
                </c:pt>
                <c:pt idx="4">
                  <c:v>40</c:v>
                </c:pt>
                <c:pt idx="5">
                  <c:v>30</c:v>
                </c:pt>
                <c:pt idx="6">
                  <c:v>20</c:v>
                </c:pt>
                <c:pt idx="7">
                  <c:v>10</c:v>
                </c:pt>
                <c:pt idx="8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>
              <a:solidFill>
                <a:schemeClr val="accent1"/>
              </a:solidFill>
            </a:ln>
          </c:spPr>
          <c:cat>
            <c:strLit>
              <c:ptCount val="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Analysis!$E$24:$AH$24</c15:sqref>
                  </c15:fullRef>
                </c:ext>
              </c:extLst>
              <c:f>(Analysis!$E$24:$G$24,Analysis!$I$24:$N$24)</c:f>
              <c:numCache>
                <c:formatCode>General</c:formatCode>
                <c:ptCount val="9"/>
                <c:pt idx="0">
                  <c:v>90</c:v>
                </c:pt>
                <c:pt idx="1">
                  <c:v>60</c:v>
                </c:pt>
                <c:pt idx="2">
                  <c:v>75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738800"/>
        <c:axId val="294734096"/>
      </c:lineChart>
      <c:catAx>
        <c:axId val="294738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7047353760445706"/>
              <c:y val="0.865707434052757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947340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2947340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Workitem Hours</a:t>
                </a:r>
              </a:p>
            </c:rich>
          </c:tx>
          <c:layout>
            <c:manualLayout>
              <c:xMode val="edge"/>
              <c:yMode val="edge"/>
              <c:x val="3.2497678737233068E-2"/>
              <c:y val="0.278177458033573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94738800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8551532660357033"/>
          <c:y val="0.16635131134923922"/>
          <c:w val="0.13741881036240838"/>
          <c:h val="0.5792177293627768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 paperSize="0" orientation="portrait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581026</xdr:colOff>
      <xdr:row>1</xdr:row>
      <xdr:rowOff>133350</xdr:rowOff>
    </xdr:from>
    <xdr:to>
      <xdr:col>19</xdr:col>
      <xdr:colOff>533401</xdr:colOff>
      <xdr:row>17</xdr:row>
      <xdr:rowOff>66675</xdr:rowOff>
    </xdr:to>
    <xdr:graphicFrame macro="">
      <xdr:nvGraphicFramePr>
        <xdr:cNvPr id="728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12</xdr:col>
      <xdr:colOff>9524</xdr:colOff>
      <xdr:row>17</xdr:row>
      <xdr:rowOff>66675</xdr:rowOff>
    </xdr:to>
    <xdr:graphicFrame macro="">
      <xdr:nvGraphicFramePr>
        <xdr:cNvPr id="728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Leratomolokomme@gmail.com" TargetMode="External"/><Relationship Id="rId7" Type="http://schemas.openxmlformats.org/officeDocument/2006/relationships/hyperlink" Target="mailto:Mp.mello5@gmail.com" TargetMode="External"/><Relationship Id="rId2" Type="http://schemas.openxmlformats.org/officeDocument/2006/relationships/hyperlink" Target="mailto:Luftiyya.Razak@gmail.com" TargetMode="External"/><Relationship Id="rId1" Type="http://schemas.openxmlformats.org/officeDocument/2006/relationships/hyperlink" Target="mailto:Ephihaniam@gmail.com" TargetMode="External"/><Relationship Id="rId6" Type="http://schemas.openxmlformats.org/officeDocument/2006/relationships/hyperlink" Target="mailto:BaobabCos301@gmail.com" TargetMode="External"/><Relationship Id="rId5" Type="http://schemas.openxmlformats.org/officeDocument/2006/relationships/hyperlink" Target="mailto:Zamapm@gmail.com" TargetMode="External"/><Relationship Id="rId4" Type="http://schemas.openxmlformats.org/officeDocument/2006/relationships/hyperlink" Target="mailto:Therealmrntsaba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W20"/>
  <sheetViews>
    <sheetView tabSelected="1" zoomScaleNormal="12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C20" sqref="C20"/>
    </sheetView>
  </sheetViews>
  <sheetFormatPr defaultRowHeight="12.75" x14ac:dyDescent="0.2"/>
  <cols>
    <col min="1" max="1" width="29.140625" style="5" customWidth="1"/>
    <col min="2" max="2" width="6" style="5" customWidth="1"/>
    <col min="3" max="3" width="65.85546875" style="5" customWidth="1"/>
    <col min="4" max="4" width="24.85546875" style="5" customWidth="1"/>
    <col min="5" max="5" width="15.7109375" style="5" customWidth="1"/>
    <col min="6" max="6" width="14.42578125" style="5" customWidth="1"/>
    <col min="7" max="16384" width="9.140625" style="5"/>
  </cols>
  <sheetData>
    <row r="1" spans="1:6" ht="9.75" customHeight="1" x14ac:dyDescent="0.2">
      <c r="A1" s="1"/>
      <c r="B1" s="1"/>
      <c r="C1" s="2"/>
      <c r="D1" s="3" t="s">
        <v>16</v>
      </c>
      <c r="E1" s="4">
        <v>42186</v>
      </c>
      <c r="F1" s="1"/>
    </row>
    <row r="2" spans="1:6" ht="38.25" customHeight="1" x14ac:dyDescent="0.2">
      <c r="A2" s="6" t="s">
        <v>44</v>
      </c>
      <c r="B2" s="6" t="s">
        <v>45</v>
      </c>
      <c r="C2" s="1" t="s">
        <v>46</v>
      </c>
      <c r="D2" s="1" t="s">
        <v>0</v>
      </c>
      <c r="E2" s="1" t="s">
        <v>1</v>
      </c>
      <c r="F2" s="159" t="s">
        <v>99</v>
      </c>
    </row>
    <row r="3" spans="1:6" ht="21.75" x14ac:dyDescent="0.2">
      <c r="A3" s="7" t="s">
        <v>65</v>
      </c>
      <c r="B3" s="8">
        <v>1</v>
      </c>
      <c r="C3" s="152" t="s">
        <v>76</v>
      </c>
      <c r="D3" s="9" t="s">
        <v>89</v>
      </c>
      <c r="E3" s="153" t="s">
        <v>75</v>
      </c>
      <c r="F3" s="10">
        <v>1</v>
      </c>
    </row>
    <row r="4" spans="1:6" ht="21.75" x14ac:dyDescent="0.2">
      <c r="A4" s="7" t="s">
        <v>67</v>
      </c>
      <c r="B4" s="8">
        <v>2</v>
      </c>
      <c r="C4" s="152" t="s">
        <v>77</v>
      </c>
      <c r="D4" s="9" t="s">
        <v>87</v>
      </c>
      <c r="E4" s="153" t="s">
        <v>90</v>
      </c>
      <c r="F4" s="10">
        <v>1</v>
      </c>
    </row>
    <row r="5" spans="1:6" ht="21.75" x14ac:dyDescent="0.2">
      <c r="A5" s="7" t="s">
        <v>68</v>
      </c>
      <c r="B5" s="8">
        <v>3</v>
      </c>
      <c r="C5" s="152" t="s">
        <v>78</v>
      </c>
      <c r="D5" s="9" t="s">
        <v>87</v>
      </c>
      <c r="E5" s="153" t="s">
        <v>90</v>
      </c>
      <c r="F5" s="10">
        <v>1</v>
      </c>
    </row>
    <row r="6" spans="1:6" ht="21.75" x14ac:dyDescent="0.2">
      <c r="A6" s="7" t="s">
        <v>61</v>
      </c>
      <c r="B6" s="8">
        <v>4</v>
      </c>
      <c r="C6" s="152" t="s">
        <v>79</v>
      </c>
      <c r="D6" s="9" t="s">
        <v>85</v>
      </c>
      <c r="E6" s="153" t="s">
        <v>90</v>
      </c>
      <c r="F6" s="10">
        <v>1</v>
      </c>
    </row>
    <row r="7" spans="1:6" ht="21.75" x14ac:dyDescent="0.2">
      <c r="A7" s="7" t="s">
        <v>62</v>
      </c>
      <c r="B7" s="8">
        <v>5</v>
      </c>
      <c r="C7" s="152" t="s">
        <v>80</v>
      </c>
      <c r="D7" s="9" t="s">
        <v>88</v>
      </c>
      <c r="E7" s="153" t="s">
        <v>90</v>
      </c>
      <c r="F7" s="10">
        <v>1</v>
      </c>
    </row>
    <row r="8" spans="1:6" ht="21.75" x14ac:dyDescent="0.2">
      <c r="A8" s="7" t="s">
        <v>63</v>
      </c>
      <c r="B8" s="8">
        <v>6</v>
      </c>
      <c r="C8" s="152" t="s">
        <v>81</v>
      </c>
      <c r="D8" s="9" t="s">
        <v>86</v>
      </c>
      <c r="E8" s="153" t="s">
        <v>90</v>
      </c>
      <c r="F8" s="10">
        <v>0.5</v>
      </c>
    </row>
    <row r="9" spans="1:6" x14ac:dyDescent="0.2">
      <c r="A9" s="7" t="s">
        <v>66</v>
      </c>
      <c r="B9" s="8">
        <v>7</v>
      </c>
      <c r="C9" s="152" t="s">
        <v>82</v>
      </c>
      <c r="D9" s="9" t="s">
        <v>57</v>
      </c>
      <c r="E9" s="153" t="s">
        <v>91</v>
      </c>
      <c r="F9" s="10">
        <v>0.4</v>
      </c>
    </row>
    <row r="10" spans="1:6" x14ac:dyDescent="0.2">
      <c r="A10" s="7" t="s">
        <v>64</v>
      </c>
      <c r="B10" s="8">
        <v>8</v>
      </c>
      <c r="C10" s="152" t="s">
        <v>83</v>
      </c>
      <c r="D10" s="9" t="s">
        <v>49</v>
      </c>
      <c r="E10" s="153" t="s">
        <v>91</v>
      </c>
      <c r="F10" s="10">
        <v>0.3</v>
      </c>
    </row>
    <row r="11" spans="1:6" hidden="1" x14ac:dyDescent="0.2">
      <c r="A11" s="11"/>
      <c r="B11" s="11"/>
      <c r="C11" s="11"/>
      <c r="D11" s="11"/>
      <c r="E11" s="11"/>
      <c r="F11" s="11"/>
    </row>
    <row r="12" spans="1:6" x14ac:dyDescent="0.2">
      <c r="A12" s="12"/>
      <c r="B12" s="12"/>
      <c r="C12" s="12"/>
      <c r="D12" s="12"/>
      <c r="E12" s="1"/>
      <c r="F12" s="12"/>
    </row>
    <row r="13" spans="1:6" hidden="1" x14ac:dyDescent="0.2">
      <c r="A13" s="13"/>
      <c r="B13" s="13"/>
      <c r="C13" s="13" t="s">
        <v>7</v>
      </c>
      <c r="D13" s="13"/>
      <c r="E13" s="13"/>
      <c r="F13" s="13"/>
    </row>
    <row r="14" spans="1:6" hidden="1" x14ac:dyDescent="0.2">
      <c r="A14" s="14"/>
      <c r="B14" s="14"/>
      <c r="C14" s="13" t="s">
        <v>8</v>
      </c>
      <c r="D14" s="13"/>
      <c r="E14" s="13"/>
      <c r="F14" s="13"/>
    </row>
    <row r="15" spans="1:6" hidden="1" x14ac:dyDescent="0.2">
      <c r="A15" s="13"/>
      <c r="B15" s="13"/>
      <c r="C15" s="15" t="s">
        <v>9</v>
      </c>
      <c r="D15" s="13"/>
      <c r="E15" s="13"/>
      <c r="F15" s="13"/>
    </row>
    <row r="16" spans="1:6" x14ac:dyDescent="0.2">
      <c r="A16" s="16">
        <v>300</v>
      </c>
      <c r="B16" s="16" t="s">
        <v>48</v>
      </c>
      <c r="C16" s="17" t="s">
        <v>47</v>
      </c>
      <c r="D16" s="17"/>
      <c r="E16" s="17"/>
      <c r="F16" s="17"/>
    </row>
    <row r="17" spans="1:6" x14ac:dyDescent="0.2">
      <c r="A17" s="18"/>
      <c r="B17" s="18"/>
      <c r="C17" s="18"/>
      <c r="D17" s="18"/>
      <c r="E17" s="18"/>
      <c r="F17" s="18"/>
    </row>
    <row r="18" spans="1:6" x14ac:dyDescent="0.2">
      <c r="A18" s="18"/>
      <c r="B18" s="18"/>
      <c r="C18" s="18"/>
      <c r="D18" s="18"/>
      <c r="E18" s="18"/>
      <c r="F18" s="18"/>
    </row>
    <row r="19" spans="1:6" x14ac:dyDescent="0.2">
      <c r="A19" s="18"/>
      <c r="B19" s="18"/>
      <c r="C19" s="18"/>
      <c r="D19" s="18"/>
      <c r="E19" s="18"/>
    </row>
    <row r="20" spans="1:6" x14ac:dyDescent="0.2">
      <c r="A20" s="18"/>
      <c r="B20" s="18"/>
      <c r="C20" s="18"/>
      <c r="D20" s="18"/>
      <c r="E20" s="18"/>
    </row>
  </sheetData>
  <autoFilter ref="A2:F10">
    <sortState ref="A4:DY45">
      <sortCondition ref="B3:B45"/>
    </sortState>
  </autoFilter>
  <phoneticPr fontId="2" type="noConversion"/>
  <conditionalFormatting sqref="E12">
    <cfRule type="cellIs" dxfId="58" priority="7" stopIfTrue="1" operator="equal">
      <formula>"Complete"</formula>
    </cfRule>
    <cfRule type="cellIs" dxfId="57" priority="7" stopIfTrue="1" operator="equal">
      <formula>"In Progress"</formula>
    </cfRule>
  </conditionalFormatting>
  <conditionalFormatting sqref="F3:F10 A3:C10">
    <cfRule type="expression" dxfId="52" priority="16" stopIfTrue="1">
      <formula>MOD(ROW(),2)</formula>
    </cfRule>
  </conditionalFormatting>
  <conditionalFormatting sqref="E3:E10">
    <cfRule type="cellIs" dxfId="48" priority="20" stopIfTrue="1" operator="equal">
      <formula>"Complete"</formula>
    </cfRule>
    <cfRule type="cellIs" dxfId="47" priority="20" stopIfTrue="1" operator="equal">
      <formula>"In Progress"</formula>
    </cfRule>
    <cfRule type="cellIs" dxfId="46" priority="20" stopIfTrue="1" operator="equal">
      <formula>"Pending"</formula>
    </cfRule>
  </conditionalFormatting>
  <dataValidations count="1">
    <dataValidation type="list" allowBlank="1" showInputMessage="1" showErrorMessage="1" sqref="D3:D10">
      <formula1>Members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R48"/>
  <sheetViews>
    <sheetView workbookViewId="0">
      <selection activeCell="K33" sqref="K33"/>
    </sheetView>
  </sheetViews>
  <sheetFormatPr defaultRowHeight="12.75" x14ac:dyDescent="0.2"/>
  <cols>
    <col min="1" max="1" width="9.140625" style="5"/>
    <col min="2" max="2" width="9.42578125" style="5" customWidth="1"/>
    <col min="3" max="4" width="9.140625" style="5"/>
    <col min="5" max="5" width="9.28515625" style="5" customWidth="1"/>
    <col min="6" max="13" width="9.28515625" style="5" bestFit="1" customWidth="1"/>
    <col min="14" max="14" width="9.28515625" style="5" customWidth="1"/>
    <col min="15" max="28" width="9.28515625" style="5" bestFit="1" customWidth="1"/>
    <col min="29" max="29" width="9.7109375" style="5" customWidth="1"/>
    <col min="30" max="34" width="9.28515625" style="5" bestFit="1" customWidth="1"/>
    <col min="35" max="16384" width="9.140625" style="5"/>
  </cols>
  <sheetData>
    <row r="1" spans="1:1" x14ac:dyDescent="0.2">
      <c r="A1" s="116"/>
    </row>
    <row r="19" spans="1:44" x14ac:dyDescent="0.2">
      <c r="A19" s="117" t="e">
        <f>IF(SkipWeekends, "Working Day", "Calendar Day")</f>
        <v>#REF!</v>
      </c>
      <c r="B19" s="118"/>
      <c r="C19" s="119"/>
      <c r="D19" s="120"/>
      <c r="E19" s="119">
        <v>1</v>
      </c>
      <c r="F19" s="119">
        <v>2</v>
      </c>
      <c r="G19" s="119">
        <v>3</v>
      </c>
      <c r="H19" s="119">
        <v>4</v>
      </c>
      <c r="I19" s="119">
        <v>5</v>
      </c>
      <c r="J19" s="119">
        <v>6</v>
      </c>
      <c r="K19" s="119">
        <v>7</v>
      </c>
      <c r="L19" s="119">
        <v>8</v>
      </c>
      <c r="M19" s="119">
        <v>9</v>
      </c>
      <c r="N19" s="119">
        <v>10</v>
      </c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20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</row>
    <row r="20" spans="1:44" x14ac:dyDescent="0.2">
      <c r="A20" s="117" t="s">
        <v>15</v>
      </c>
      <c r="B20" s="118"/>
      <c r="C20" s="119"/>
      <c r="D20" s="120"/>
      <c r="E20" s="122">
        <v>42186</v>
      </c>
      <c r="F20" s="122">
        <v>42198</v>
      </c>
      <c r="G20" s="122">
        <v>42212</v>
      </c>
      <c r="H20" s="122">
        <v>42219</v>
      </c>
      <c r="I20" s="122">
        <v>42233</v>
      </c>
      <c r="J20" s="122">
        <v>42247</v>
      </c>
      <c r="K20" s="122">
        <v>42261</v>
      </c>
      <c r="L20" s="122">
        <v>42275</v>
      </c>
      <c r="M20" s="122">
        <v>42289</v>
      </c>
      <c r="N20" s="122">
        <v>42295</v>
      </c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3"/>
      <c r="AI20" s="124"/>
      <c r="AJ20" s="124"/>
      <c r="AK20" s="124"/>
      <c r="AL20" s="124"/>
      <c r="AM20" s="124"/>
      <c r="AN20" s="124"/>
      <c r="AO20" s="124"/>
      <c r="AP20" s="124"/>
      <c r="AQ20" s="124"/>
      <c r="AR20" s="124"/>
    </row>
    <row r="21" spans="1:44" x14ac:dyDescent="0.2">
      <c r="A21" s="117"/>
      <c r="B21" s="118"/>
      <c r="C21" s="119"/>
      <c r="D21" s="120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3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</row>
    <row r="22" spans="1:44" x14ac:dyDescent="0.2">
      <c r="A22" s="117" t="s">
        <v>96</v>
      </c>
      <c r="B22" s="119"/>
      <c r="C22" s="125"/>
      <c r="D22" s="126"/>
      <c r="E22" s="119">
        <v>90</v>
      </c>
      <c r="F22" s="119">
        <v>80</v>
      </c>
      <c r="G22" s="119">
        <v>70</v>
      </c>
      <c r="H22" s="119">
        <v>60</v>
      </c>
      <c r="I22" s="119">
        <v>50</v>
      </c>
      <c r="J22" s="119">
        <v>40</v>
      </c>
      <c r="K22" s="119">
        <v>30</v>
      </c>
      <c r="L22" s="119">
        <v>20</v>
      </c>
      <c r="M22" s="119">
        <v>10</v>
      </c>
      <c r="N22" s="119">
        <v>0</v>
      </c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20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</row>
    <row r="23" spans="1:44" x14ac:dyDescent="0.2">
      <c r="A23" s="127" t="s">
        <v>97</v>
      </c>
      <c r="B23" s="125"/>
      <c r="C23" s="125"/>
      <c r="D23" s="126"/>
      <c r="E23" s="120">
        <v>10</v>
      </c>
      <c r="F23" s="120">
        <v>10</v>
      </c>
      <c r="G23" s="120">
        <v>5</v>
      </c>
      <c r="H23" s="120" t="e">
        <f t="shared" ref="H23:N23" ca="1" si="0">IF(H20&gt;TODAY(), #N/A, SUM(INDEX(Burndown,,(H19-1)*BurndownColumns+HoursSpentColumn)))</f>
        <v>#N/A</v>
      </c>
      <c r="I23" s="120" t="e">
        <f t="shared" ca="1" si="0"/>
        <v>#N/A</v>
      </c>
      <c r="J23" s="120" t="e">
        <f t="shared" ca="1" si="0"/>
        <v>#N/A</v>
      </c>
      <c r="K23" s="120" t="e">
        <f t="shared" ca="1" si="0"/>
        <v>#N/A</v>
      </c>
      <c r="L23" s="120" t="e">
        <f t="shared" ca="1" si="0"/>
        <v>#N/A</v>
      </c>
      <c r="M23" s="120" t="e">
        <f t="shared" ca="1" si="0"/>
        <v>#N/A</v>
      </c>
      <c r="N23" s="120" t="e">
        <f t="shared" ca="1" si="0"/>
        <v>#N/A</v>
      </c>
      <c r="O23" s="120"/>
      <c r="P23" s="120"/>
      <c r="Q23" s="120"/>
      <c r="R23" s="120"/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20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</row>
    <row r="24" spans="1:44" x14ac:dyDescent="0.2">
      <c r="A24" s="127" t="s">
        <v>98</v>
      </c>
      <c r="B24" s="125"/>
      <c r="C24" s="125"/>
      <c r="D24" s="126"/>
      <c r="E24" s="120">
        <v>90</v>
      </c>
      <c r="F24" s="120">
        <v>60</v>
      </c>
      <c r="G24" s="120">
        <v>75</v>
      </c>
      <c r="H24" s="120" t="e">
        <f ca="1">IF(H20&gt;TODAY(), #N/A, SUM($E23:H23))</f>
        <v>#N/A</v>
      </c>
      <c r="I24" s="120" t="e">
        <f ca="1">IF(I20&gt;TODAY(), #N/A, SUM($E23:I23))</f>
        <v>#N/A</v>
      </c>
      <c r="J24" s="120" t="e">
        <f ca="1">IF(J20&gt;TODAY(), #N/A, SUM($E23:J23))</f>
        <v>#N/A</v>
      </c>
      <c r="K24" s="120" t="e">
        <f ca="1">IF(K20&gt;TODAY(), #N/A, SUM($E23:K23))</f>
        <v>#N/A</v>
      </c>
      <c r="L24" s="120" t="e">
        <f ca="1">IF(L20&gt;TODAY(), #N/A, SUM($E23:L23))</f>
        <v>#N/A</v>
      </c>
      <c r="M24" s="120" t="e">
        <f ca="1">IF(M20&gt;TODAY(), #N/A, SUM($E23:M23))</f>
        <v>#N/A</v>
      </c>
      <c r="N24" s="120" t="e">
        <f ca="1">IF(N20&gt;TODAY(), #N/A, SUM($E23:N23))</f>
        <v>#N/A</v>
      </c>
      <c r="O24" s="120"/>
      <c r="P24" s="120"/>
      <c r="Q24" s="120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20"/>
      <c r="AF24" s="120"/>
      <c r="AG24" s="120"/>
      <c r="AH24" s="120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</row>
    <row r="25" spans="1:44" x14ac:dyDescent="0.2">
      <c r="A25" s="127" t="s">
        <v>96</v>
      </c>
      <c r="B25" s="125"/>
      <c r="C25" s="125"/>
      <c r="D25" s="126"/>
      <c r="E25" s="120">
        <v>80</v>
      </c>
      <c r="F25" s="120">
        <v>70</v>
      </c>
      <c r="G25" s="120">
        <f t="shared" ref="G25:N25" ca="1" si="1">IF(G20&gt;TODAY(), #N/A, G22+G24)</f>
        <v>145</v>
      </c>
      <c r="H25" s="120" t="e">
        <f t="shared" ca="1" si="1"/>
        <v>#N/A</v>
      </c>
      <c r="I25" s="120" t="e">
        <f t="shared" ca="1" si="1"/>
        <v>#N/A</v>
      </c>
      <c r="J25" s="120" t="e">
        <f t="shared" ca="1" si="1"/>
        <v>#N/A</v>
      </c>
      <c r="K25" s="120" t="e">
        <f t="shared" ca="1" si="1"/>
        <v>#N/A</v>
      </c>
      <c r="L25" s="120" t="e">
        <f t="shared" ca="1" si="1"/>
        <v>#N/A</v>
      </c>
      <c r="M25" s="120" t="e">
        <f t="shared" ca="1" si="1"/>
        <v>#N/A</v>
      </c>
      <c r="N25" s="120" t="e">
        <f t="shared" ca="1" si="1"/>
        <v>#N/A</v>
      </c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</row>
    <row r="26" spans="1:44" x14ac:dyDescent="0.2">
      <c r="A26" s="127"/>
      <c r="B26" s="125"/>
      <c r="C26" s="125"/>
      <c r="D26" s="126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0"/>
      <c r="AI26" s="128"/>
      <c r="AJ26" s="128"/>
      <c r="AK26" s="128"/>
      <c r="AL26" s="128"/>
      <c r="AM26" s="128"/>
      <c r="AN26" s="128"/>
      <c r="AO26" s="128"/>
      <c r="AP26" s="128"/>
      <c r="AQ26" s="128"/>
      <c r="AR26" s="128"/>
    </row>
    <row r="27" spans="1:44" x14ac:dyDescent="0.2">
      <c r="A27" s="117" t="s">
        <v>2</v>
      </c>
      <c r="B27" s="125"/>
      <c r="C27" s="119"/>
      <c r="D27" s="126"/>
      <c r="E27" s="10">
        <f t="shared" ref="E27:N27" ca="1" si="2">IF(E20&gt;TODAY(), #N/A, E24/E19)</f>
        <v>90</v>
      </c>
      <c r="F27" s="10">
        <f t="shared" ca="1" si="2"/>
        <v>30</v>
      </c>
      <c r="G27" s="10">
        <f t="shared" ca="1" si="2"/>
        <v>25</v>
      </c>
      <c r="H27" s="10" t="e">
        <f t="shared" ca="1" si="2"/>
        <v>#N/A</v>
      </c>
      <c r="I27" s="10" t="e">
        <f t="shared" ca="1" si="2"/>
        <v>#N/A</v>
      </c>
      <c r="J27" s="10" t="e">
        <f t="shared" ca="1" si="2"/>
        <v>#N/A</v>
      </c>
      <c r="K27" s="10" t="e">
        <f t="shared" ca="1" si="2"/>
        <v>#N/A</v>
      </c>
      <c r="L27" s="10" t="e">
        <f t="shared" ca="1" si="2"/>
        <v>#N/A</v>
      </c>
      <c r="M27" s="10" t="e">
        <f t="shared" ca="1" si="2"/>
        <v>#N/A</v>
      </c>
      <c r="N27" s="10" t="e">
        <f t="shared" ca="1" si="2"/>
        <v>#N/A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29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</row>
    <row r="28" spans="1:44" x14ac:dyDescent="0.2">
      <c r="A28" s="127" t="s">
        <v>3</v>
      </c>
      <c r="B28" s="125"/>
      <c r="C28" s="125"/>
      <c r="D28" s="126"/>
      <c r="E28" s="122">
        <v>42197</v>
      </c>
      <c r="F28" s="131">
        <f t="shared" ref="E28:N29" ca="1" si="3">IF(F20&gt;TODAY(), #N/A, IF(F27=0, SprintStart, F20 + (F22/F27)))</f>
        <v>42200.666666666664</v>
      </c>
      <c r="G28" s="131">
        <f t="shared" ca="1" si="3"/>
        <v>42214.8</v>
      </c>
      <c r="H28" s="131" t="e">
        <f t="shared" ca="1" si="3"/>
        <v>#N/A</v>
      </c>
      <c r="I28" s="131" t="e">
        <f t="shared" ca="1" si="3"/>
        <v>#N/A</v>
      </c>
      <c r="J28" s="131" t="e">
        <f t="shared" ca="1" si="3"/>
        <v>#N/A</v>
      </c>
      <c r="K28" s="131" t="e">
        <f t="shared" ca="1" si="3"/>
        <v>#N/A</v>
      </c>
      <c r="L28" s="131" t="e">
        <f t="shared" ca="1" si="3"/>
        <v>#N/A</v>
      </c>
      <c r="M28" s="131" t="e">
        <f t="shared" ca="1" si="3"/>
        <v>#N/A</v>
      </c>
      <c r="N28" s="131" t="e">
        <f t="shared" ca="1" si="3"/>
        <v>#N/A</v>
      </c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  <c r="AH28" s="123"/>
      <c r="AI28" s="132"/>
      <c r="AJ28" s="132"/>
      <c r="AK28" s="132"/>
      <c r="AL28" s="132"/>
      <c r="AM28" s="132"/>
      <c r="AN28" s="132"/>
      <c r="AO28" s="132"/>
      <c r="AP28" s="132"/>
      <c r="AQ28" s="132"/>
      <c r="AR28" s="132"/>
    </row>
    <row r="29" spans="1:44" x14ac:dyDescent="0.2">
      <c r="A29" s="127" t="s">
        <v>17</v>
      </c>
      <c r="B29" s="125"/>
      <c r="C29" s="125"/>
      <c r="D29" s="126"/>
      <c r="E29" s="122">
        <v>42197</v>
      </c>
      <c r="F29" s="122">
        <v>42212</v>
      </c>
      <c r="G29" s="122">
        <v>42219</v>
      </c>
      <c r="H29" s="122">
        <v>42233</v>
      </c>
      <c r="I29" s="122">
        <v>42247</v>
      </c>
      <c r="J29" s="122">
        <v>42261</v>
      </c>
      <c r="K29" s="122">
        <v>42275</v>
      </c>
      <c r="L29" s="122">
        <v>42289</v>
      </c>
      <c r="M29" s="122">
        <v>42295</v>
      </c>
      <c r="N29" s="131">
        <v>42299</v>
      </c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  <c r="AH29" s="123"/>
      <c r="AI29" s="132"/>
      <c r="AJ29" s="132"/>
      <c r="AK29" s="132"/>
      <c r="AL29" s="132"/>
      <c r="AM29" s="132"/>
      <c r="AN29" s="132"/>
      <c r="AO29" s="132"/>
      <c r="AP29" s="132"/>
      <c r="AQ29" s="132"/>
      <c r="AR29" s="132"/>
    </row>
    <row r="30" spans="1:44" x14ac:dyDescent="0.2">
      <c r="A30" s="127"/>
      <c r="B30" s="125"/>
      <c r="C30" s="125"/>
      <c r="D30" s="126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0"/>
      <c r="AI30" s="128"/>
      <c r="AJ30" s="128"/>
      <c r="AK30" s="128"/>
      <c r="AL30" s="128"/>
      <c r="AM30" s="128"/>
      <c r="AN30" s="128"/>
      <c r="AO30" s="128"/>
      <c r="AP30" s="128"/>
      <c r="AQ30" s="128"/>
      <c r="AR30" s="128"/>
    </row>
    <row r="31" spans="1:44" x14ac:dyDescent="0.2">
      <c r="A31" s="127" t="s">
        <v>100</v>
      </c>
      <c r="B31" s="125"/>
      <c r="C31" s="125"/>
      <c r="D31" s="126"/>
      <c r="E31" s="125">
        <v>88</v>
      </c>
      <c r="F31" s="125">
        <v>79</v>
      </c>
      <c r="G31" s="125">
        <v>25</v>
      </c>
      <c r="H31" s="125" t="e">
        <f t="shared" ref="E31:N31" ca="1" si="4">IF(H$20&gt;TODAY(), #N/A, SUMIF(INDEX(Burndown,,(H$19-1)*BurndownColumns+StatusColumn), "=Pending",INDEX(Burndown,,(H$19-1)*BurndownColumns+HoursLeftColumn)))</f>
        <v>#N/A</v>
      </c>
      <c r="I31" s="125" t="e">
        <f t="shared" ca="1" si="4"/>
        <v>#N/A</v>
      </c>
      <c r="J31" s="125" t="e">
        <f t="shared" ca="1" si="4"/>
        <v>#N/A</v>
      </c>
      <c r="K31" s="125" t="e">
        <f t="shared" ca="1" si="4"/>
        <v>#N/A</v>
      </c>
      <c r="L31" s="125" t="e">
        <f t="shared" ca="1" si="4"/>
        <v>#N/A</v>
      </c>
      <c r="M31" s="125" t="e">
        <f t="shared" ca="1" si="4"/>
        <v>#N/A</v>
      </c>
      <c r="N31" s="125" t="e">
        <f t="shared" ca="1" si="4"/>
        <v>#N/A</v>
      </c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0"/>
      <c r="AI31" s="128"/>
      <c r="AJ31" s="128"/>
      <c r="AK31" s="128"/>
      <c r="AL31" s="128"/>
      <c r="AM31" s="128"/>
      <c r="AN31" s="128"/>
      <c r="AO31" s="128"/>
      <c r="AP31" s="128"/>
      <c r="AQ31" s="128"/>
      <c r="AR31" s="128"/>
    </row>
    <row r="32" spans="1:44" x14ac:dyDescent="0.2">
      <c r="A32" s="127" t="s">
        <v>101</v>
      </c>
      <c r="B32" s="125"/>
      <c r="C32" s="125"/>
      <c r="D32" s="126"/>
      <c r="E32" s="133">
        <v>0</v>
      </c>
      <c r="F32" s="133">
        <v>25</v>
      </c>
      <c r="G32" s="133">
        <v>79</v>
      </c>
      <c r="H32" s="133" t="e">
        <f t="shared" ref="E32:N32" ca="1" si="5">H$22-H$31+H$24-H$33</f>
        <v>#N/A</v>
      </c>
      <c r="I32" s="133" t="e">
        <f t="shared" ca="1" si="5"/>
        <v>#N/A</v>
      </c>
      <c r="J32" s="133" t="e">
        <f t="shared" ca="1" si="5"/>
        <v>#N/A</v>
      </c>
      <c r="K32" s="133" t="e">
        <f t="shared" ca="1" si="5"/>
        <v>#N/A</v>
      </c>
      <c r="L32" s="133" t="e">
        <f t="shared" ca="1" si="5"/>
        <v>#N/A</v>
      </c>
      <c r="M32" s="133" t="e">
        <f t="shared" ca="1" si="5"/>
        <v>#N/A</v>
      </c>
      <c r="N32" s="133" t="e">
        <f t="shared" ca="1" si="5"/>
        <v>#N/A</v>
      </c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3"/>
      <c r="AG32" s="133"/>
      <c r="AH32" s="134"/>
      <c r="AI32" s="135"/>
      <c r="AJ32" s="135"/>
      <c r="AK32" s="135"/>
      <c r="AL32" s="135"/>
      <c r="AM32" s="135"/>
      <c r="AN32" s="135"/>
      <c r="AO32" s="135"/>
      <c r="AP32" s="135"/>
      <c r="AQ32" s="135"/>
      <c r="AR32" s="135"/>
    </row>
    <row r="33" spans="1:44" x14ac:dyDescent="0.2">
      <c r="A33" s="127" t="s">
        <v>102</v>
      </c>
      <c r="B33" s="125"/>
      <c r="C33" s="125"/>
      <c r="D33" s="126"/>
      <c r="E33" s="125">
        <v>12</v>
      </c>
      <c r="F33" s="125">
        <v>12</v>
      </c>
      <c r="G33" s="125">
        <v>12</v>
      </c>
      <c r="H33" s="125" t="e">
        <f t="shared" ref="E33:N33" ca="1" si="6">IF(H$20&gt;TODAY(), #N/A, SUMIF(INDEX(Burndown,,(H$19-1)*BurndownColumns+StatusColumn), "=Complete",TotalEffort))</f>
        <v>#N/A</v>
      </c>
      <c r="I33" s="125" t="e">
        <f t="shared" ca="1" si="6"/>
        <v>#N/A</v>
      </c>
      <c r="J33" s="125" t="e">
        <f t="shared" ca="1" si="6"/>
        <v>#N/A</v>
      </c>
      <c r="K33" s="125" t="e">
        <f t="shared" ca="1" si="6"/>
        <v>#N/A</v>
      </c>
      <c r="L33" s="125" t="e">
        <f t="shared" ca="1" si="6"/>
        <v>#N/A</v>
      </c>
      <c r="M33" s="125" t="e">
        <f t="shared" ca="1" si="6"/>
        <v>#N/A</v>
      </c>
      <c r="N33" s="125" t="e">
        <f t="shared" ca="1" si="6"/>
        <v>#N/A</v>
      </c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0"/>
      <c r="AI33" s="128"/>
      <c r="AJ33" s="128"/>
      <c r="AK33" s="128"/>
      <c r="AL33" s="128"/>
      <c r="AM33" s="128"/>
      <c r="AN33" s="128"/>
      <c r="AO33" s="128"/>
      <c r="AP33" s="128"/>
      <c r="AQ33" s="128"/>
      <c r="AR33" s="128"/>
    </row>
    <row r="34" spans="1:44" x14ac:dyDescent="0.2">
      <c r="A34" s="127"/>
      <c r="B34" s="125"/>
      <c r="C34" s="125"/>
      <c r="D34" s="126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0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</row>
    <row r="35" spans="1:44" x14ac:dyDescent="0.2">
      <c r="A35" s="127" t="s">
        <v>6</v>
      </c>
      <c r="B35" s="125"/>
      <c r="C35" s="125"/>
      <c r="D35" s="126"/>
      <c r="E35" s="125">
        <v>7</v>
      </c>
      <c r="F35" s="125">
        <v>5</v>
      </c>
      <c r="G35" s="125">
        <v>2</v>
      </c>
      <c r="H35" s="125" t="e">
        <f t="shared" ref="H35:N35" ca="1" si="7">IF(H20&gt;TODAY(), #N/A, COUNTIF(INDEX(Burndown,,(H19-1)*BurndownColumns+StatusColumn), "=Pending"))</f>
        <v>#N/A</v>
      </c>
      <c r="I35" s="125" t="e">
        <f t="shared" ca="1" si="7"/>
        <v>#N/A</v>
      </c>
      <c r="J35" s="125" t="e">
        <f t="shared" ca="1" si="7"/>
        <v>#N/A</v>
      </c>
      <c r="K35" s="125" t="e">
        <f t="shared" ca="1" si="7"/>
        <v>#N/A</v>
      </c>
      <c r="L35" s="125" t="e">
        <f t="shared" ca="1" si="7"/>
        <v>#N/A</v>
      </c>
      <c r="M35" s="125" t="e">
        <f t="shared" ca="1" si="7"/>
        <v>#N/A</v>
      </c>
      <c r="N35" s="125" t="e">
        <f t="shared" ca="1" si="7"/>
        <v>#N/A</v>
      </c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</row>
    <row r="36" spans="1:44" x14ac:dyDescent="0.2">
      <c r="A36" s="127" t="s">
        <v>4</v>
      </c>
      <c r="B36" s="125"/>
      <c r="C36" s="125"/>
      <c r="D36" s="126"/>
      <c r="E36" s="125">
        <v>0</v>
      </c>
      <c r="F36" s="125">
        <v>2</v>
      </c>
      <c r="G36" s="125">
        <v>5</v>
      </c>
      <c r="H36" s="125" t="e">
        <f t="shared" ref="E36:N36" ca="1" si="8">IF(H20&gt;TODAY(), #N/A, COUNTIF(INDEX(Burndown,,(H19-1)*BurndownColumns+StatusColumn), "=In Progress"))</f>
        <v>#N/A</v>
      </c>
      <c r="I36" s="125" t="e">
        <f t="shared" ca="1" si="8"/>
        <v>#N/A</v>
      </c>
      <c r="J36" s="125" t="e">
        <f t="shared" ca="1" si="8"/>
        <v>#N/A</v>
      </c>
      <c r="K36" s="125" t="e">
        <f t="shared" ca="1" si="8"/>
        <v>#N/A</v>
      </c>
      <c r="L36" s="125" t="e">
        <f t="shared" ca="1" si="8"/>
        <v>#N/A</v>
      </c>
      <c r="M36" s="125" t="e">
        <f t="shared" ca="1" si="8"/>
        <v>#N/A</v>
      </c>
      <c r="N36" s="125" t="e">
        <f t="shared" ca="1" si="8"/>
        <v>#N/A</v>
      </c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0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</row>
    <row r="37" spans="1:44" x14ac:dyDescent="0.2">
      <c r="A37" s="127" t="s">
        <v>5</v>
      </c>
      <c r="B37" s="125"/>
      <c r="C37" s="125"/>
      <c r="D37" s="126"/>
      <c r="E37" s="125">
        <v>1</v>
      </c>
      <c r="F37" s="125">
        <v>1</v>
      </c>
      <c r="G37" s="125">
        <v>1</v>
      </c>
      <c r="H37" s="125" t="e">
        <f t="shared" ref="H37:N37" ca="1" si="9">IF(H20&gt;TODAY(), #N/A, COUNTIF(INDEX(Burndown,,(H19-1)*BurndownColumns+StatusColumn), "=Complete"))</f>
        <v>#N/A</v>
      </c>
      <c r="I37" s="125" t="e">
        <f t="shared" ca="1" si="9"/>
        <v>#N/A</v>
      </c>
      <c r="J37" s="125" t="e">
        <f t="shared" ca="1" si="9"/>
        <v>#N/A</v>
      </c>
      <c r="K37" s="125" t="e">
        <f t="shared" ca="1" si="9"/>
        <v>#N/A</v>
      </c>
      <c r="L37" s="125" t="e">
        <f t="shared" ca="1" si="9"/>
        <v>#N/A</v>
      </c>
      <c r="M37" s="125" t="e">
        <f t="shared" ca="1" si="9"/>
        <v>#N/A</v>
      </c>
      <c r="N37" s="125" t="e">
        <f t="shared" ca="1" si="9"/>
        <v>#N/A</v>
      </c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0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</row>
    <row r="38" spans="1:44" x14ac:dyDescent="0.2">
      <c r="A38" s="125"/>
      <c r="B38" s="125"/>
      <c r="C38" s="125"/>
      <c r="D38" s="125"/>
      <c r="E38" s="125"/>
      <c r="F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</row>
    <row r="39" spans="1:44" x14ac:dyDescent="0.2">
      <c r="A39" s="127"/>
      <c r="B39" s="125"/>
      <c r="C39" s="125"/>
      <c r="D39" s="125"/>
      <c r="E39" s="119"/>
      <c r="F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</row>
    <row r="40" spans="1:44" x14ac:dyDescent="0.2">
      <c r="A40" s="127" t="s">
        <v>12</v>
      </c>
      <c r="B40" s="125"/>
      <c r="C40" s="125"/>
      <c r="D40" s="125"/>
      <c r="E40" s="119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</row>
    <row r="41" spans="1:44" x14ac:dyDescent="0.2">
      <c r="A41" s="125"/>
      <c r="B41" s="125" t="s">
        <v>10</v>
      </c>
      <c r="C41" s="125"/>
      <c r="D41" s="125"/>
      <c r="E41" s="125">
        <v>3</v>
      </c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</row>
    <row r="42" spans="1:44" x14ac:dyDescent="0.2">
      <c r="A42" s="125"/>
      <c r="B42" s="125" t="s">
        <v>14</v>
      </c>
      <c r="C42" s="125"/>
      <c r="D42" s="125"/>
      <c r="E42" s="125">
        <v>1</v>
      </c>
      <c r="F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</row>
    <row r="43" spans="1:44" x14ac:dyDescent="0.2">
      <c r="A43" s="125"/>
      <c r="B43" s="125" t="s">
        <v>13</v>
      </c>
      <c r="C43" s="125"/>
      <c r="D43" s="125"/>
      <c r="E43" s="125">
        <v>2</v>
      </c>
    </row>
    <row r="44" spans="1:44" x14ac:dyDescent="0.2">
      <c r="A44" s="125"/>
      <c r="B44" s="125" t="s">
        <v>11</v>
      </c>
      <c r="C44" s="125"/>
      <c r="D44" s="125"/>
      <c r="E44" s="125">
        <v>3</v>
      </c>
    </row>
    <row r="45" spans="1:44" x14ac:dyDescent="0.2">
      <c r="A45" s="125"/>
      <c r="C45" s="125"/>
      <c r="D45" s="125"/>
    </row>
    <row r="46" spans="1:44" x14ac:dyDescent="0.2">
      <c r="A46" s="127"/>
    </row>
    <row r="47" spans="1:44" x14ac:dyDescent="0.2">
      <c r="A47" s="125"/>
    </row>
    <row r="48" spans="1:44" x14ac:dyDescent="0.2">
      <c r="A48" s="125"/>
    </row>
  </sheetData>
  <phoneticPr fontId="2" type="noConversion"/>
  <conditionalFormatting sqref="D19:AR21">
    <cfRule type="expression" dxfId="45" priority="12" stopIfTrue="1">
      <formula>"I1=TODAY()"</formula>
    </cfRule>
  </conditionalFormatting>
  <conditionalFormatting sqref="E28">
    <cfRule type="expression" dxfId="19" priority="10" stopIfTrue="1">
      <formula>"I1=TODAY()"</formula>
    </cfRule>
  </conditionalFormatting>
  <conditionalFormatting sqref="E29">
    <cfRule type="expression" dxfId="17" priority="9" stopIfTrue="1">
      <formula>"I1=TODAY()"</formula>
    </cfRule>
  </conditionalFormatting>
  <conditionalFormatting sqref="F29">
    <cfRule type="expression" dxfId="15" priority="8" stopIfTrue="1">
      <formula>"I1=TODAY()"</formula>
    </cfRule>
  </conditionalFormatting>
  <conditionalFormatting sqref="G29">
    <cfRule type="expression" dxfId="13" priority="7" stopIfTrue="1">
      <formula>"I1=TODAY()"</formula>
    </cfRule>
  </conditionalFormatting>
  <conditionalFormatting sqref="H29">
    <cfRule type="expression" dxfId="11" priority="6" stopIfTrue="1">
      <formula>"I1=TODAY()"</formula>
    </cfRule>
  </conditionalFormatting>
  <conditionalFormatting sqref="I29">
    <cfRule type="expression" dxfId="9" priority="5" stopIfTrue="1">
      <formula>"I1=TODAY()"</formula>
    </cfRule>
  </conditionalFormatting>
  <conditionalFormatting sqref="J29">
    <cfRule type="expression" dxfId="7" priority="4" stopIfTrue="1">
      <formula>"I1=TODAY()"</formula>
    </cfRule>
  </conditionalFormatting>
  <conditionalFormatting sqref="K29">
    <cfRule type="expression" dxfId="5" priority="3" stopIfTrue="1">
      <formula>"I1=TODAY()"</formula>
    </cfRule>
  </conditionalFormatting>
  <conditionalFormatting sqref="L29">
    <cfRule type="expression" dxfId="3" priority="2" stopIfTrue="1">
      <formula>"I1=TODAY()"</formula>
    </cfRule>
  </conditionalFormatting>
  <conditionalFormatting sqref="M29">
    <cfRule type="expression" dxfId="1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H41"/>
  <sheetViews>
    <sheetView workbookViewId="0">
      <selection activeCell="F20" sqref="F20"/>
    </sheetView>
  </sheetViews>
  <sheetFormatPr defaultRowHeight="12.75" x14ac:dyDescent="0.2"/>
  <cols>
    <col min="1" max="1" width="2.7109375" style="19" customWidth="1"/>
    <col min="2" max="2" width="18.42578125" style="19" bestFit="1" customWidth="1"/>
    <col min="3" max="3" width="14.140625" style="19" bestFit="1" customWidth="1"/>
    <col min="4" max="5" width="30.42578125" style="19" customWidth="1"/>
    <col min="6" max="6" width="15.140625" style="19" bestFit="1" customWidth="1"/>
    <col min="7" max="7" width="28.7109375" style="19" customWidth="1"/>
    <col min="8" max="8" width="2.85546875" style="19" bestFit="1" customWidth="1"/>
    <col min="9" max="16384" width="9.140625" style="19"/>
  </cols>
  <sheetData>
    <row r="4" spans="2:7" x14ac:dyDescent="0.2">
      <c r="B4" s="95" t="s">
        <v>43</v>
      </c>
      <c r="C4" s="19">
        <v>4</v>
      </c>
    </row>
    <row r="5" spans="2:7" ht="13.5" thickBot="1" x14ac:dyDescent="0.25"/>
    <row r="6" spans="2:7" ht="14.25" thickTop="1" thickBot="1" x14ac:dyDescent="0.25">
      <c r="B6" s="95" t="s">
        <v>29</v>
      </c>
      <c r="C6" s="96" t="s">
        <v>20</v>
      </c>
      <c r="D6" s="97" t="s">
        <v>84</v>
      </c>
      <c r="E6" s="97" t="s">
        <v>52</v>
      </c>
      <c r="F6" s="98" t="s">
        <v>21</v>
      </c>
      <c r="G6" s="99" t="s">
        <v>53</v>
      </c>
    </row>
    <row r="7" spans="2:7" ht="13.5" thickTop="1" x14ac:dyDescent="0.2">
      <c r="C7" s="100"/>
      <c r="D7" s="157"/>
      <c r="E7" s="101"/>
      <c r="F7" s="102"/>
      <c r="G7" s="103"/>
    </row>
    <row r="8" spans="2:7" x14ac:dyDescent="0.2">
      <c r="C8" s="104" t="s">
        <v>50</v>
      </c>
      <c r="D8" s="155" t="s">
        <v>49</v>
      </c>
      <c r="E8" s="148" t="s">
        <v>51</v>
      </c>
      <c r="F8" s="105">
        <v>27728680414</v>
      </c>
      <c r="G8" s="106"/>
    </row>
    <row r="9" spans="2:7" x14ac:dyDescent="0.2">
      <c r="C9" s="158" t="s">
        <v>54</v>
      </c>
      <c r="D9" s="156" t="s">
        <v>85</v>
      </c>
      <c r="E9" s="149" t="s">
        <v>55</v>
      </c>
      <c r="F9" s="108">
        <v>27837924964</v>
      </c>
      <c r="G9" s="109"/>
    </row>
    <row r="10" spans="2:7" ht="11.25" customHeight="1" x14ac:dyDescent="0.2">
      <c r="C10" s="110" t="s">
        <v>56</v>
      </c>
      <c r="D10" s="156" t="s">
        <v>86</v>
      </c>
      <c r="E10" s="150" t="s">
        <v>72</v>
      </c>
      <c r="F10" s="108">
        <v>27738043992</v>
      </c>
      <c r="G10" s="109"/>
    </row>
    <row r="11" spans="2:7" x14ac:dyDescent="0.2">
      <c r="C11" s="158" t="s">
        <v>58</v>
      </c>
      <c r="D11" s="156" t="s">
        <v>57</v>
      </c>
      <c r="E11" s="149" t="s">
        <v>71</v>
      </c>
      <c r="F11" s="108">
        <v>27813923570</v>
      </c>
      <c r="G11" s="109"/>
    </row>
    <row r="12" spans="2:7" x14ac:dyDescent="0.2">
      <c r="C12" s="107" t="s">
        <v>59</v>
      </c>
      <c r="D12" s="156" t="s">
        <v>87</v>
      </c>
      <c r="E12" s="151" t="s">
        <v>73</v>
      </c>
      <c r="F12" s="108">
        <v>27847505955</v>
      </c>
      <c r="G12" s="109"/>
    </row>
    <row r="13" spans="2:7" x14ac:dyDescent="0.2">
      <c r="C13" s="110" t="s">
        <v>60</v>
      </c>
      <c r="D13" s="156" t="s">
        <v>88</v>
      </c>
      <c r="E13" s="150" t="s">
        <v>74</v>
      </c>
      <c r="F13" s="108">
        <v>27790788189</v>
      </c>
      <c r="G13" s="109"/>
    </row>
    <row r="14" spans="2:7" x14ac:dyDescent="0.2">
      <c r="C14" s="110" t="s">
        <v>69</v>
      </c>
      <c r="D14" s="156" t="s">
        <v>89</v>
      </c>
      <c r="E14" s="150" t="s">
        <v>70</v>
      </c>
      <c r="F14" s="108">
        <v>27837924964</v>
      </c>
      <c r="G14" s="109"/>
    </row>
    <row r="15" spans="2:7" ht="13.5" thickBot="1" x14ac:dyDescent="0.25">
      <c r="C15" s="111"/>
      <c r="D15" s="112"/>
      <c r="E15" s="112"/>
      <c r="F15" s="113"/>
      <c r="G15" s="114">
        <f>COUNT(G8:G13)</f>
        <v>0</v>
      </c>
    </row>
    <row r="16" spans="2:7" ht="13.5" thickTop="1" x14ac:dyDescent="0.2"/>
    <row r="31" spans="8:8" x14ac:dyDescent="0.2">
      <c r="H31" s="115"/>
    </row>
    <row r="33" spans="4:8" x14ac:dyDescent="0.2">
      <c r="G33" s="115"/>
      <c r="H33" s="115"/>
    </row>
    <row r="41" spans="4:8" x14ac:dyDescent="0.2">
      <c r="D41" s="5"/>
      <c r="E41" s="5"/>
    </row>
  </sheetData>
  <phoneticPr fontId="2" type="noConversion"/>
  <hyperlinks>
    <hyperlink ref="E8" r:id="rId1"/>
    <hyperlink ref="E9" r:id="rId2"/>
    <hyperlink ref="E10" r:id="rId3"/>
    <hyperlink ref="E11" r:id="rId4"/>
    <hyperlink ref="E12" r:id="rId5"/>
    <hyperlink ref="E14" r:id="rId6"/>
    <hyperlink ref="E13" r:id="rId7"/>
  </hyperlinks>
  <pageMargins left="0.75" right="0.75" top="1" bottom="1" header="0.5" footer="0.5"/>
  <pageSetup paperSize="9" orientation="portrait" r:id="rId8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36"/>
  <sheetViews>
    <sheetView zoomScaleNormal="75" workbookViewId="0">
      <pane xSplit="7" ySplit="9" topLeftCell="H10" activePane="bottomRight" state="frozen"/>
      <selection activeCell="B20" sqref="B20"/>
      <selection pane="topRight" activeCell="B20" sqref="B20"/>
      <selection pane="bottomLeft" activeCell="B20" sqref="B20"/>
      <selection pane="bottomRight" activeCell="E21" sqref="E21"/>
    </sheetView>
  </sheetViews>
  <sheetFormatPr defaultRowHeight="12.75" x14ac:dyDescent="0.2"/>
  <cols>
    <col min="1" max="1" width="2.28515625" style="19" customWidth="1"/>
    <col min="2" max="2" width="23.42578125" style="20" customWidth="1"/>
    <col min="3" max="4" width="6.5703125" style="20" bestFit="1" customWidth="1"/>
    <col min="5" max="5" width="24.5703125" style="19" customWidth="1"/>
    <col min="6" max="6" width="13.7109375" style="19" customWidth="1"/>
    <col min="7" max="7" width="12.7109375" style="19" bestFit="1" customWidth="1"/>
    <col min="8" max="8" width="1.85546875" style="19" customWidth="1"/>
    <col min="9" max="9" width="6.85546875" style="19" bestFit="1" customWidth="1"/>
    <col min="10" max="10" width="3.140625" style="19" customWidth="1"/>
    <col min="11" max="15" width="3.7109375" style="19" customWidth="1"/>
    <col min="16" max="16" width="6.85546875" style="19" bestFit="1" customWidth="1"/>
    <col min="17" max="22" width="3.7109375" style="19" customWidth="1"/>
    <col min="23" max="23" width="4" style="19" customWidth="1"/>
    <col min="24" max="28" width="3" style="19" customWidth="1"/>
    <col min="29" max="38" width="9.140625" style="19"/>
    <col min="39" max="16384" width="9.140625" style="5"/>
  </cols>
  <sheetData>
    <row r="1" spans="2:28" ht="13.5" thickBot="1" x14ac:dyDescent="0.25"/>
    <row r="2" spans="2:28" ht="13.5" thickBot="1" x14ac:dyDescent="0.25">
      <c r="B2" s="25" t="s">
        <v>94</v>
      </c>
      <c r="C2" s="22"/>
      <c r="D2" s="23" t="s">
        <v>95</v>
      </c>
      <c r="E2" s="24">
        <v>42186</v>
      </c>
    </row>
    <row r="3" spans="2:28" x14ac:dyDescent="0.2">
      <c r="B3" s="21" t="s">
        <v>32</v>
      </c>
      <c r="C3" s="22"/>
      <c r="D3" s="23" t="str">
        <f ca="1">TEXT(E3,"ddd")</f>
        <v>Fri</v>
      </c>
      <c r="E3" s="24">
        <f ca="1">TODAY()</f>
        <v>42216</v>
      </c>
    </row>
    <row r="4" spans="2:28" ht="13.5" thickBot="1" x14ac:dyDescent="0.25">
      <c r="B4" s="25" t="s">
        <v>31</v>
      </c>
      <c r="C4" s="26"/>
      <c r="D4" s="27" t="str">
        <f>TEXT(E4,"ddd")</f>
        <v>Mon</v>
      </c>
      <c r="E4" s="154">
        <v>42219</v>
      </c>
    </row>
    <row r="5" spans="2:28" ht="13.5" thickBot="1" x14ac:dyDescent="0.25">
      <c r="B5" s="25" t="s">
        <v>92</v>
      </c>
      <c r="C5" s="26"/>
      <c r="D5" s="27" t="str">
        <f>TEXT(E5,"ddd")</f>
        <v>Fri</v>
      </c>
      <c r="E5" s="154">
        <v>42230</v>
      </c>
    </row>
    <row r="6" spans="2:28" ht="13.5" thickBot="1" x14ac:dyDescent="0.25">
      <c r="B6" s="25" t="s">
        <v>93</v>
      </c>
      <c r="C6" s="26"/>
      <c r="D6" s="27" t="str">
        <f>TEXT(E6,"ddd")</f>
        <v>Tue</v>
      </c>
      <c r="E6" s="154">
        <v>42297</v>
      </c>
    </row>
    <row r="7" spans="2:28" ht="13.5" thickBot="1" x14ac:dyDescent="0.25">
      <c r="D7" s="19"/>
      <c r="E7" s="28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</row>
    <row r="8" spans="2:28" ht="15.75" thickBot="1" x14ac:dyDescent="0.25">
      <c r="B8" s="136" t="s">
        <v>35</v>
      </c>
      <c r="C8" s="137"/>
      <c r="D8" s="137"/>
      <c r="E8" s="137"/>
      <c r="F8" s="137"/>
      <c r="G8" s="138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3"/>
      <c r="X8" s="32"/>
      <c r="Y8" s="32"/>
      <c r="Z8" s="32"/>
      <c r="AA8" s="32"/>
      <c r="AB8" s="34"/>
    </row>
    <row r="9" spans="2:28" ht="13.5" thickBot="1" x14ac:dyDescent="0.25">
      <c r="B9" s="35" t="s">
        <v>41</v>
      </c>
      <c r="C9" s="36">
        <v>4</v>
      </c>
      <c r="D9" s="37"/>
      <c r="E9" s="38" t="s">
        <v>42</v>
      </c>
      <c r="F9" s="39">
        <v>11</v>
      </c>
      <c r="G9" s="40"/>
      <c r="I9" s="41">
        <f>IF(D4="Mon",E4-0,IF(D4="Tue",E4-1,IF(D4="Wed",E4-2,IF(D4="Thu",E4-3,IF(D4="Fri",E4-4,IF(D4="Sat",E4-5,IF(D4="Sun",E4-6,"False")))))))</f>
        <v>42219</v>
      </c>
      <c r="J9" s="42">
        <f t="shared" ref="J9:O9" si="0">I9+1</f>
        <v>42220</v>
      </c>
      <c r="K9" s="42">
        <f t="shared" si="0"/>
        <v>42221</v>
      </c>
      <c r="L9" s="42">
        <f t="shared" si="0"/>
        <v>42222</v>
      </c>
      <c r="M9" s="42">
        <f t="shared" si="0"/>
        <v>42223</v>
      </c>
      <c r="N9" s="43">
        <f t="shared" si="0"/>
        <v>42224</v>
      </c>
      <c r="O9" s="43">
        <f t="shared" si="0"/>
        <v>42225</v>
      </c>
      <c r="P9" s="44">
        <f>I9+7</f>
        <v>42226</v>
      </c>
      <c r="Q9" s="42">
        <f t="shared" ref="Q9:V9" si="1">P9+1</f>
        <v>42227</v>
      </c>
      <c r="R9" s="42">
        <f t="shared" si="1"/>
        <v>42228</v>
      </c>
      <c r="S9" s="42">
        <f t="shared" si="1"/>
        <v>42229</v>
      </c>
      <c r="T9" s="42">
        <f t="shared" si="1"/>
        <v>42230</v>
      </c>
      <c r="U9" s="43">
        <f t="shared" si="1"/>
        <v>42231</v>
      </c>
      <c r="V9" s="43">
        <f t="shared" si="1"/>
        <v>42232</v>
      </c>
      <c r="W9" s="139"/>
      <c r="X9" s="140"/>
      <c r="Y9" s="140"/>
      <c r="Z9" s="140"/>
      <c r="AA9" s="140"/>
      <c r="AB9" s="141"/>
    </row>
    <row r="10" spans="2:28" ht="29.25" customHeight="1" thickBot="1" x14ac:dyDescent="0.25">
      <c r="B10" s="45"/>
      <c r="C10" s="46"/>
      <c r="D10" s="37"/>
      <c r="E10" s="47" t="s">
        <v>33</v>
      </c>
      <c r="F10" s="47" t="s">
        <v>39</v>
      </c>
      <c r="G10" s="48" t="s">
        <v>34</v>
      </c>
      <c r="I10" s="49" t="s">
        <v>18</v>
      </c>
      <c r="J10" s="50" t="s">
        <v>22</v>
      </c>
      <c r="K10" s="50" t="s">
        <v>23</v>
      </c>
      <c r="L10" s="50" t="s">
        <v>22</v>
      </c>
      <c r="M10" s="50" t="s">
        <v>24</v>
      </c>
      <c r="N10" s="51" t="s">
        <v>19</v>
      </c>
      <c r="O10" s="52" t="s">
        <v>19</v>
      </c>
      <c r="P10" s="49" t="s">
        <v>18</v>
      </c>
      <c r="Q10" s="50" t="s">
        <v>22</v>
      </c>
      <c r="R10" s="50" t="s">
        <v>23</v>
      </c>
      <c r="S10" s="50" t="s">
        <v>22</v>
      </c>
      <c r="T10" s="50" t="s">
        <v>24</v>
      </c>
      <c r="U10" s="51" t="s">
        <v>19</v>
      </c>
      <c r="V10" s="52" t="s">
        <v>19</v>
      </c>
      <c r="W10" s="145" t="s">
        <v>30</v>
      </c>
      <c r="X10" s="146"/>
      <c r="Y10" s="146"/>
      <c r="Z10" s="146"/>
      <c r="AA10" s="146"/>
      <c r="AB10" s="147"/>
    </row>
    <row r="11" spans="2:28" ht="13.5" thickBot="1" x14ac:dyDescent="0.25">
      <c r="B11" s="53" t="s">
        <v>25</v>
      </c>
      <c r="C11" s="54" t="e">
        <f>SUM(G11:G16)</f>
        <v>#REF!</v>
      </c>
      <c r="D11" s="55"/>
      <c r="E11" s="56" t="s">
        <v>49</v>
      </c>
      <c r="F11" s="57">
        <v>1</v>
      </c>
      <c r="G11" s="58" t="e">
        <f>SUMIF(Sprint!$D$3:$D$1803,E11,Sprint!#REF!)</f>
        <v>#REF!</v>
      </c>
      <c r="H11" s="59"/>
      <c r="I11" s="65">
        <f>IF(I$9&lt;$E$6,0,IF(ISBLANK($E11),0,IF(I$9&lt;$E$3,0,1)))</f>
        <v>0</v>
      </c>
      <c r="J11" s="66">
        <f>IF(J$9&lt;$E$6,0,IF(ISBLANK($E11),0,IF(J$9&lt;$E$3,0,1)))</f>
        <v>0</v>
      </c>
      <c r="K11" s="66">
        <f>IF(K$9&lt;$E$6,0,IF(ISBLANK($E11),0,IF(K$9&lt;$E$3,0,1)))</f>
        <v>0</v>
      </c>
      <c r="L11" s="66">
        <f>IF(L$9&lt;$E$6,0,IF(ISBLANK($E11),0,IF(L$9&lt;$E$3,0,1)))</f>
        <v>0</v>
      </c>
      <c r="M11" s="66">
        <f>IF(M$9&lt;$E$6,0,IF(ISBLANK($E11),0,IF(M$9&lt;$E$3,0,1)))</f>
        <v>0</v>
      </c>
      <c r="N11" s="60"/>
      <c r="O11" s="61"/>
      <c r="P11" s="65">
        <f>IF(P$9&lt;$E$6,0,IF(ISBLANK($E11),0,IF(P$9&lt;$E$3,0,1)))</f>
        <v>0</v>
      </c>
      <c r="Q11" s="66">
        <f>IF(Q$9&lt;$E$6,0,IF(ISBLANK($E11),0,IF(Q$9&lt;$E$3,0,1)))</f>
        <v>0</v>
      </c>
      <c r="R11" s="66">
        <f>IF(R$9&lt;$E$6,0,IF(ISBLANK($E11),0,IF(R$9&lt;$E$3,0,1)))</f>
        <v>0</v>
      </c>
      <c r="S11" s="66">
        <f>IF(S$9&lt;$E$6,0,IF(ISBLANK($E11),0,IF(S$9&lt;$E$3,0,1)))</f>
        <v>0</v>
      </c>
      <c r="T11" s="66">
        <f>IF(T$9&lt;$E$6,0,IF(ISBLANK($E11),0,IF(T$9&lt;$E$3,0,1)))</f>
        <v>0</v>
      </c>
      <c r="U11" s="60"/>
      <c r="V11" s="61"/>
      <c r="W11" s="142">
        <f>IF(E11="unassigned",0,(COUNTIF(I11:V11,1)*$C$9)*F11)</f>
        <v>0</v>
      </c>
      <c r="X11" s="143"/>
      <c r="Y11" s="143"/>
      <c r="Z11" s="143"/>
      <c r="AA11" s="143"/>
      <c r="AB11" s="144"/>
    </row>
    <row r="12" spans="2:28" ht="13.5" thickBot="1" x14ac:dyDescent="0.25">
      <c r="B12" s="62" t="s">
        <v>26</v>
      </c>
      <c r="C12" s="54">
        <f>SUM(W11:AB16)</f>
        <v>0</v>
      </c>
      <c r="D12" s="63"/>
      <c r="E12" s="9" t="s">
        <v>85</v>
      </c>
      <c r="F12" s="64">
        <v>1</v>
      </c>
      <c r="G12" s="58" t="e">
        <f>SUMIF(Sprint!$D$3:$D$1803,E12,Sprint!#REF!)</f>
        <v>#REF!</v>
      </c>
      <c r="H12" s="59"/>
      <c r="I12" s="65">
        <f>IF(I$9&lt;$E$6,0,IF(ISBLANK($E12),0,IF(I$9&lt;$E$3,0,1)))</f>
        <v>0</v>
      </c>
      <c r="J12" s="66">
        <f>IF(J$9&lt;$E$6,0,IF(ISBLANK($E12),0,IF(J$9&lt;$E$3,0,1)))</f>
        <v>0</v>
      </c>
      <c r="K12" s="66">
        <f>IF(K$9&lt;$E$6,0,IF(ISBLANK($E12),0,IF(K$9&lt;$E$3,0,1)))</f>
        <v>0</v>
      </c>
      <c r="L12" s="66">
        <f>IF(L$9&lt;$E$6,0,IF(ISBLANK($E12),0,IF(L$9&lt;$E$3,0,1)))</f>
        <v>0</v>
      </c>
      <c r="M12" s="66">
        <f>IF(M$9&lt;$E$6,0,IF(ISBLANK($E12),0,IF(M$9&lt;$E$3,0,1)))</f>
        <v>0</v>
      </c>
      <c r="N12" s="67"/>
      <c r="O12" s="68"/>
      <c r="P12" s="65">
        <f>IF(P$9&lt;$E$6,0,IF(ISBLANK($E12),0,IF(P$9&lt;$E$3,0,1)))</f>
        <v>0</v>
      </c>
      <c r="Q12" s="66">
        <f>IF(Q$9&lt;$E$6,0,IF(ISBLANK($E12),0,IF(Q$9&lt;$E$3,0,1)))</f>
        <v>0</v>
      </c>
      <c r="R12" s="66">
        <f>IF(R$9&lt;$E$6,0,IF(ISBLANK($E12),0,IF(R$9&lt;$E$3,0,1)))</f>
        <v>0</v>
      </c>
      <c r="S12" s="66">
        <f>IF(S$9&lt;$E$6,0,IF(ISBLANK($E12),0,IF(S$9&lt;$E$3,0,1)))</f>
        <v>0</v>
      </c>
      <c r="T12" s="66">
        <f>IF(T$9&lt;$E$6,0,IF(ISBLANK($E12),0,IF(T$9&lt;$E$3,0,1)))</f>
        <v>0</v>
      </c>
      <c r="U12" s="67"/>
      <c r="V12" s="68"/>
      <c r="W12" s="142">
        <f>IF(E12="unassigned",0,(COUNTIF(I12:V12,1)*$C$9)*F12)</f>
        <v>0</v>
      </c>
      <c r="X12" s="143"/>
      <c r="Y12" s="143"/>
      <c r="Z12" s="143"/>
      <c r="AA12" s="143"/>
      <c r="AB12" s="144"/>
    </row>
    <row r="13" spans="2:28" ht="13.5" thickBot="1" x14ac:dyDescent="0.25">
      <c r="B13" s="69" t="s">
        <v>27</v>
      </c>
      <c r="C13" s="70" t="e">
        <f>C11-C12</f>
        <v>#REF!</v>
      </c>
      <c r="D13" s="37"/>
      <c r="E13" s="9" t="s">
        <v>86</v>
      </c>
      <c r="F13" s="64">
        <v>1</v>
      </c>
      <c r="G13" s="58" t="e">
        <f>SUMIF(Sprint!$D$3:$D$1803,E13,Sprint!#REF!)</f>
        <v>#REF!</v>
      </c>
      <c r="H13" s="59"/>
      <c r="I13" s="65">
        <f>IF(I$9&lt;$E$6,0,IF(ISBLANK($E13),0,IF(I$9&lt;$E$3,0,1)))</f>
        <v>0</v>
      </c>
      <c r="J13" s="66">
        <f>IF(J$9&lt;$E$6,0,IF(ISBLANK($E13),0,IF(J$9&lt;$E$3,0,1)))</f>
        <v>0</v>
      </c>
      <c r="K13" s="66">
        <f>IF(K$9&lt;$E$6,0,IF(ISBLANK($E13),0,IF(K$9&lt;$E$3,0,1)))</f>
        <v>0</v>
      </c>
      <c r="L13" s="66">
        <f>IF(L$9&lt;$E$6,0,IF(ISBLANK($E13),0,IF(L$9&lt;$E$3,0,1)))</f>
        <v>0</v>
      </c>
      <c r="M13" s="66">
        <f>IF(M$9&lt;$E$6,0,IF(ISBLANK($E13),0,IF(M$9&lt;$E$3,0,1)))</f>
        <v>0</v>
      </c>
      <c r="N13" s="67"/>
      <c r="O13" s="68"/>
      <c r="P13" s="65">
        <f>IF(P$9&lt;$E$6,0,IF(ISBLANK($E13),0,IF(P$9&lt;$E$3,0,1)))</f>
        <v>0</v>
      </c>
      <c r="Q13" s="66">
        <f>IF(Q$9&lt;$E$6,0,IF(ISBLANK($E13),0,IF(Q$9&lt;$E$3,0,1)))</f>
        <v>0</v>
      </c>
      <c r="R13" s="66">
        <f>IF(R$9&lt;$E$6,0,IF(ISBLANK($E13),0,IF(R$9&lt;$E$3,0,1)))</f>
        <v>0</v>
      </c>
      <c r="S13" s="66">
        <f>IF(S$9&lt;$E$6,0,IF(ISBLANK($E13),0,IF(S$9&lt;$E$3,0,1)))</f>
        <v>0</v>
      </c>
      <c r="T13" s="66">
        <f>IF(T$9&lt;$E$6,0,IF(ISBLANK($E13),0,IF(T$9&lt;$E$3,0,1)))</f>
        <v>0</v>
      </c>
      <c r="U13" s="67"/>
      <c r="V13" s="68"/>
      <c r="W13" s="142">
        <f>IF(E13="unassigned",0,(COUNTIF(I13:V13,1)*$C$9)*F13)</f>
        <v>0</v>
      </c>
      <c r="X13" s="143"/>
      <c r="Y13" s="143"/>
      <c r="Z13" s="143"/>
      <c r="AA13" s="143"/>
      <c r="AB13" s="144"/>
    </row>
    <row r="14" spans="2:28" ht="13.5" thickBot="1" x14ac:dyDescent="0.25">
      <c r="B14" s="71"/>
      <c r="D14" s="72"/>
      <c r="E14" s="9" t="s">
        <v>57</v>
      </c>
      <c r="F14" s="64">
        <v>1</v>
      </c>
      <c r="G14" s="58" t="e">
        <f>SUMIF(Sprint!$D$3:$D$1803,E14,Sprint!#REF!)</f>
        <v>#REF!</v>
      </c>
      <c r="H14" s="59"/>
      <c r="I14" s="65">
        <f>IF(I$9&lt;$E$6,0,IF(ISBLANK($E14),0,IF(I$9&lt;$E$3,0,1)))</f>
        <v>0</v>
      </c>
      <c r="J14" s="66">
        <f>IF(J$9&lt;$E$6,0,IF(ISBLANK($E14),0,IF(J$9&lt;$E$3,0,1)))</f>
        <v>0</v>
      </c>
      <c r="K14" s="66">
        <f>IF(K$9&lt;$E$6,0,IF(ISBLANK($E14),0,IF(K$9&lt;$E$3,0,1)))</f>
        <v>0</v>
      </c>
      <c r="L14" s="66">
        <f>IF(L$9&lt;$E$6,0,IF(ISBLANK($E14),0,IF(L$9&lt;$E$3,0,1)))</f>
        <v>0</v>
      </c>
      <c r="M14" s="66">
        <f>IF(M$9&lt;$E$6,0,IF(ISBLANK($E14),0,IF(M$9&lt;$E$3,0,1)))</f>
        <v>0</v>
      </c>
      <c r="N14" s="67"/>
      <c r="O14" s="68"/>
      <c r="P14" s="65">
        <f>IF(P$9&lt;$E$6,0,IF(ISBLANK($E14),0,IF(P$9&lt;$E$3,0,1)))</f>
        <v>0</v>
      </c>
      <c r="Q14" s="66">
        <f>IF(Q$9&lt;$E$6,0,IF(ISBLANK($E14),0,IF(Q$9&lt;$E$3,0,1)))</f>
        <v>0</v>
      </c>
      <c r="R14" s="66">
        <f>IF(R$9&lt;$E$6,0,IF(ISBLANK($E14),0,IF(R$9&lt;$E$3,0,1)))</f>
        <v>0</v>
      </c>
      <c r="S14" s="66">
        <f>IF(S$9&lt;$E$6,0,IF(ISBLANK($E14),0,IF(S$9&lt;$E$3,0,1)))</f>
        <v>0</v>
      </c>
      <c r="T14" s="66">
        <f>IF(T$9&lt;$E$6,0,IF(ISBLANK($E14),0,IF(T$9&lt;$E$3,0,1)))</f>
        <v>0</v>
      </c>
      <c r="U14" s="67"/>
      <c r="V14" s="68"/>
      <c r="W14" s="142">
        <f>IF(E14="unassigned",0,(COUNTIF(I14:V14,1)*$C$9)*F14)</f>
        <v>0</v>
      </c>
      <c r="X14" s="143"/>
      <c r="Y14" s="143"/>
      <c r="Z14" s="143"/>
      <c r="AA14" s="143"/>
      <c r="AB14" s="144"/>
    </row>
    <row r="15" spans="2:28" ht="13.5" thickBot="1" x14ac:dyDescent="0.25">
      <c r="B15" s="71"/>
      <c r="D15" s="72"/>
      <c r="E15" s="9" t="s">
        <v>87</v>
      </c>
      <c r="F15" s="64">
        <v>1</v>
      </c>
      <c r="G15" s="58" t="e">
        <f>SUMIF(Sprint!$D$3:$D$1803,E15,Sprint!#REF!)</f>
        <v>#REF!</v>
      </c>
      <c r="H15" s="59"/>
      <c r="I15" s="65">
        <f>IF(I$9&lt;$E$6,0,IF(ISBLANK($E15),0,IF(I$9&lt;$E$3,0,1)))</f>
        <v>0</v>
      </c>
      <c r="J15" s="66">
        <f>IF(J$9&lt;$E$6,0,IF(ISBLANK($E15),0,IF(J$9&lt;$E$3,0,1)))</f>
        <v>0</v>
      </c>
      <c r="K15" s="66">
        <f>IF(K$9&lt;$E$6,0,IF(ISBLANK($E15),0,IF(K$9&lt;$E$3,0,1)))</f>
        <v>0</v>
      </c>
      <c r="L15" s="66">
        <f>IF(L$9&lt;$E$6,0,IF(ISBLANK($E15),0,IF(L$9&lt;$E$3,0,1)))</f>
        <v>0</v>
      </c>
      <c r="M15" s="66">
        <f>IF(M$9&lt;$E$6,0,IF(ISBLANK($E15),0,IF(M$9&lt;$E$3,0,1)))</f>
        <v>0</v>
      </c>
      <c r="N15" s="67"/>
      <c r="O15" s="68"/>
      <c r="P15" s="65">
        <f>IF(P$9&lt;$E$6,0,IF(ISBLANK($E15),0,IF(P$9&lt;$E$3,0,1)))</f>
        <v>0</v>
      </c>
      <c r="Q15" s="66">
        <f>IF(Q$9&lt;$E$6,0,IF(ISBLANK($E15),0,IF(Q$9&lt;$E$3,0,1)))</f>
        <v>0</v>
      </c>
      <c r="R15" s="66">
        <f>IF(R$9&lt;$E$6,0,IF(ISBLANK($E15),0,IF(R$9&lt;$E$3,0,1)))</f>
        <v>0</v>
      </c>
      <c r="S15" s="66">
        <f>IF(S$9&lt;$E$6,0,IF(ISBLANK($E15),0,IF(S$9&lt;$E$3,0,1)))</f>
        <v>0</v>
      </c>
      <c r="T15" s="66">
        <f>IF(T$9&lt;$E$6,0,IF(ISBLANK($E15),0,IF(T$9&lt;$E$3,0,1)))</f>
        <v>0</v>
      </c>
      <c r="U15" s="67"/>
      <c r="V15" s="68"/>
      <c r="W15" s="142">
        <f>IF(E15="unassigned",0,(COUNTIF(I15:V15,1)*$C$9)*F15)</f>
        <v>0</v>
      </c>
      <c r="X15" s="143"/>
      <c r="Y15" s="143"/>
      <c r="Z15" s="143"/>
      <c r="AA15" s="143"/>
      <c r="AB15" s="144"/>
    </row>
    <row r="16" spans="2:28" ht="13.5" thickBot="1" x14ac:dyDescent="0.25">
      <c r="B16" s="71"/>
      <c r="D16" s="73"/>
      <c r="E16" s="9" t="s">
        <v>87</v>
      </c>
      <c r="F16" s="64">
        <v>1</v>
      </c>
      <c r="G16" s="58" t="e">
        <f>SUMIF(Sprint!$D$3:$D$1803,E16,Sprint!#REF!)</f>
        <v>#REF!</v>
      </c>
      <c r="H16" s="59"/>
      <c r="I16" s="65">
        <f>IF(I$9&lt;$E$6,0,IF(ISBLANK($E16),0,IF(I$9&lt;$E$3,0,1)))</f>
        <v>0</v>
      </c>
      <c r="J16" s="66">
        <f>IF(J$9&lt;$E$6,0,IF(ISBLANK($E16),0,IF(J$9&lt;$E$3,0,1)))</f>
        <v>0</v>
      </c>
      <c r="K16" s="66">
        <f>IF(K$9&lt;$E$6,0,IF(ISBLANK($E16),0,IF(K$9&lt;$E$3,0,1)))</f>
        <v>0</v>
      </c>
      <c r="L16" s="66">
        <f>IF(L$9&lt;$E$6,0,IF(ISBLANK($E16),0,IF(L$9&lt;$E$3,0,1)))</f>
        <v>0</v>
      </c>
      <c r="M16" s="66">
        <f>IF(M$9&lt;$E$6,0,IF(ISBLANK($E16),0,IF(M$9&lt;$E$3,0,1)))</f>
        <v>0</v>
      </c>
      <c r="N16" s="67"/>
      <c r="O16" s="68"/>
      <c r="P16" s="65">
        <f>IF(P$9&lt;$E$6,0,IF(ISBLANK($E16),0,IF(P$9&lt;$E$3,0,1)))</f>
        <v>0</v>
      </c>
      <c r="Q16" s="66">
        <f>IF(Q$9&lt;$E$6,0,IF(ISBLANK($E16),0,IF(Q$9&lt;$E$3,0,1)))</f>
        <v>0</v>
      </c>
      <c r="R16" s="66">
        <f>IF(R$9&lt;$E$6,0,IF(ISBLANK($E16),0,IF(R$9&lt;$E$3,0,1)))</f>
        <v>0</v>
      </c>
      <c r="S16" s="66">
        <f>IF(S$9&lt;$E$6,0,IF(ISBLANK($E16),0,IF(S$9&lt;$E$3,0,1)))</f>
        <v>0</v>
      </c>
      <c r="T16" s="66">
        <f>IF(T$9&lt;$E$6,0,IF(ISBLANK($E16),0,IF(T$9&lt;$E$3,0,1)))</f>
        <v>0</v>
      </c>
      <c r="U16" s="67"/>
      <c r="V16" s="68"/>
      <c r="W16" s="142">
        <f>IF(E16="unassigned",0,(COUNTIF(I16:V16,1)*$C$9)*F16)</f>
        <v>0</v>
      </c>
      <c r="X16" s="143"/>
      <c r="Y16" s="143"/>
      <c r="Z16" s="143"/>
      <c r="AA16" s="143"/>
      <c r="AB16" s="144"/>
    </row>
    <row r="17" spans="2:28" x14ac:dyDescent="0.2">
      <c r="B17" s="71"/>
      <c r="D17" s="73"/>
      <c r="E17" s="75"/>
      <c r="F17" s="74"/>
      <c r="G17" s="76"/>
      <c r="I17" s="77"/>
      <c r="J17" s="78"/>
      <c r="K17" s="78"/>
      <c r="L17" s="78"/>
      <c r="M17" s="78"/>
      <c r="N17" s="79"/>
      <c r="O17" s="79"/>
      <c r="P17" s="78"/>
      <c r="Q17" s="78"/>
      <c r="R17" s="78"/>
      <c r="S17" s="78"/>
      <c r="T17" s="78"/>
      <c r="U17" s="79"/>
      <c r="V17" s="79"/>
      <c r="W17" s="80"/>
      <c r="X17" s="80"/>
      <c r="Y17" s="80"/>
      <c r="Z17" s="80"/>
      <c r="AA17" s="80"/>
      <c r="AB17" s="81"/>
    </row>
    <row r="18" spans="2:28" ht="13.5" thickBot="1" x14ac:dyDescent="0.25">
      <c r="B18" s="82"/>
      <c r="C18" s="83"/>
      <c r="D18" s="83"/>
      <c r="E18" s="84"/>
      <c r="F18" s="84"/>
      <c r="G18" s="85"/>
      <c r="I18" s="86"/>
      <c r="J18" s="84"/>
      <c r="K18" s="84"/>
      <c r="L18" s="84"/>
      <c r="M18" s="87"/>
      <c r="N18" s="87"/>
      <c r="O18" s="87"/>
      <c r="P18" s="87"/>
      <c r="Q18" s="87"/>
      <c r="R18" s="84"/>
      <c r="S18" s="84"/>
      <c r="T18" s="87"/>
      <c r="U18" s="87"/>
      <c r="V18" s="87"/>
      <c r="W18" s="84"/>
      <c r="X18" s="84"/>
      <c r="Y18" s="84"/>
      <c r="Z18" s="84"/>
      <c r="AA18" s="84"/>
      <c r="AB18" s="85"/>
    </row>
    <row r="20" spans="2:28" x14ac:dyDescent="0.2">
      <c r="I20" s="88" t="s">
        <v>37</v>
      </c>
      <c r="J20" s="19" t="s">
        <v>28</v>
      </c>
      <c r="K20" s="19" t="s">
        <v>38</v>
      </c>
      <c r="Q20" s="88" t="s">
        <v>36</v>
      </c>
      <c r="R20" s="19" t="s">
        <v>28</v>
      </c>
      <c r="S20" s="19" t="s">
        <v>40</v>
      </c>
    </row>
    <row r="21" spans="2:28" x14ac:dyDescent="0.2">
      <c r="C21" s="89"/>
      <c r="D21" s="89"/>
    </row>
    <row r="22" spans="2:28" x14ac:dyDescent="0.2">
      <c r="B22" s="73"/>
      <c r="C22" s="89"/>
      <c r="D22" s="89"/>
      <c r="E22" s="90"/>
      <c r="J22" s="5"/>
    </row>
    <row r="23" spans="2:28" x14ac:dyDescent="0.2">
      <c r="C23" s="89"/>
      <c r="D23" s="89"/>
      <c r="E23" s="90"/>
      <c r="F23" s="28"/>
    </row>
    <row r="28" spans="2:28" x14ac:dyDescent="0.2">
      <c r="I28" s="91"/>
    </row>
    <row r="29" spans="2:28" x14ac:dyDescent="0.2">
      <c r="J29" s="92"/>
      <c r="K29" s="93"/>
      <c r="L29" s="93"/>
      <c r="M29" s="93"/>
      <c r="N29" s="93"/>
      <c r="O29" s="93"/>
      <c r="Q29" s="92"/>
      <c r="R29" s="93"/>
      <c r="S29" s="93"/>
      <c r="T29" s="93"/>
      <c r="U29" s="93"/>
      <c r="V29" s="93"/>
    </row>
    <row r="31" spans="2:28" x14ac:dyDescent="0.2">
      <c r="E31" s="5"/>
    </row>
    <row r="36" spans="2:5" x14ac:dyDescent="0.2">
      <c r="B36" s="94"/>
      <c r="E36" s="91"/>
    </row>
  </sheetData>
  <mergeCells count="9">
    <mergeCell ref="W13:AB13"/>
    <mergeCell ref="W16:AB16"/>
    <mergeCell ref="B8:G8"/>
    <mergeCell ref="W9:AB9"/>
    <mergeCell ref="W15:AB15"/>
    <mergeCell ref="W14:AB14"/>
    <mergeCell ref="W10:AB10"/>
    <mergeCell ref="W11:AB11"/>
    <mergeCell ref="W12:AB12"/>
  </mergeCells>
  <phoneticPr fontId="0" type="noConversion"/>
  <conditionalFormatting sqref="G11:G16">
    <cfRule type="expression" dxfId="44" priority="2" stopIfTrue="1">
      <formula>G11&gt;W11</formula>
    </cfRule>
  </conditionalFormatting>
  <conditionalFormatting sqref="I11:M16 P11:T16">
    <cfRule type="cellIs" dxfId="43" priority="5" stopIfTrue="1" operator="equal">
      <formula>"H"</formula>
    </cfRule>
    <cfRule type="cellIs" dxfId="42" priority="6" stopIfTrue="1" operator="equal">
      <formula>"V"</formula>
    </cfRule>
    <cfRule type="expression" dxfId="41" priority="7" stopIfTrue="1">
      <formula>IF(I$9&lt;$E$3,1,0)</formula>
    </cfRule>
  </conditionalFormatting>
  <conditionalFormatting sqref="X21:X25 X17:X19 J23:J25 J17:J21 I17:I25 Q20 N11:O16 K17:O25 U11:V16 P21:S25 P17:S19 T17:W25">
    <cfRule type="cellIs" dxfId="40" priority="13" stopIfTrue="1" operator="equal">
      <formula>"DIO"</formula>
    </cfRule>
    <cfRule type="cellIs" dxfId="39" priority="14" stopIfTrue="1" operator="equal">
      <formula>"H"</formula>
    </cfRule>
    <cfRule type="cellIs" dxfId="38" priority="15" stopIfTrue="1" operator="equal">
      <formula>"V"</formula>
    </cfRule>
  </conditionalFormatting>
  <conditionalFormatting sqref="J9:V9">
    <cfRule type="expression" dxfId="37" priority="21" stopIfTrue="1">
      <formula>J$9=TODAY()</formula>
    </cfRule>
    <cfRule type="expression" dxfId="36" priority="22" stopIfTrue="1">
      <formula>IF((J$9+1-$E$6)=$F$9,1,0)</formula>
    </cfRule>
  </conditionalFormatting>
  <conditionalFormatting sqref="I9">
    <cfRule type="expression" dxfId="35" priority="25" stopIfTrue="1">
      <formula>I$9=TODAY()</formula>
    </cfRule>
    <cfRule type="expression" dxfId="34" priority="26" stopIfTrue="1">
      <formula>IF((J$9+1-$E$6)=$F$9,1,0)</formula>
    </cfRule>
  </conditionalFormatting>
  <conditionalFormatting sqref="C13">
    <cfRule type="cellIs" dxfId="33" priority="8" stopIfTrue="1" operator="greaterThan">
      <formula>0</formula>
    </cfRule>
    <cfRule type="cellIs" dxfId="32" priority="9" stopIfTrue="1" operator="lessThanOrEqual">
      <formula>0</formula>
    </cfRule>
  </conditionalFormatting>
  <conditionalFormatting sqref="D9:D15 C9:C12">
    <cfRule type="cellIs" dxfId="31" priority="10" stopIfTrue="1" operator="equal">
      <formula>"3A"</formula>
    </cfRule>
    <cfRule type="cellIs" dxfId="30" priority="11" stopIfTrue="1" operator="equal">
      <formula>"3B"</formula>
    </cfRule>
  </conditionalFormatting>
  <conditionalFormatting sqref="G23:G25 G9">
    <cfRule type="cellIs" dxfId="29" priority="12" stopIfTrue="1" operator="equal">
      <formula>"Done"</formula>
    </cfRule>
  </conditionalFormatting>
  <conditionalFormatting sqref="I10:K10 M10:W10">
    <cfRule type="cellIs" dxfId="28" priority="16" stopIfTrue="1" operator="equal">
      <formula>"DIO"</formula>
    </cfRule>
    <cfRule type="cellIs" dxfId="27" priority="17" stopIfTrue="1" operator="equal">
      <formula>"H"</formula>
    </cfRule>
    <cfRule type="cellIs" dxfId="26" priority="18" stopIfTrue="1" operator="equal">
      <formula>"V"</formula>
    </cfRule>
  </conditionalFormatting>
  <conditionalFormatting sqref="L10">
    <cfRule type="cellIs" dxfId="25" priority="19" stopIfTrue="1" operator="equal">
      <formula>"DIO"</formula>
    </cfRule>
    <cfRule type="cellIs" dxfId="24" priority="20" stopIfTrue="1" operator="equal">
      <formula>"H"</formula>
    </cfRule>
  </conditionalFormatting>
  <conditionalFormatting sqref="F11:F18">
    <cfRule type="expression" dxfId="23" priority="35" stopIfTrue="1">
      <formula>H11&gt;X11</formula>
    </cfRule>
  </conditionalFormatting>
  <conditionalFormatting sqref="F21:F24">
    <cfRule type="expression" dxfId="22" priority="36" stopIfTrue="1">
      <formula>H19&gt;X19</formula>
    </cfRule>
  </conditionalFormatting>
  <dataValidations count="1">
    <dataValidation type="list" allowBlank="1" showInputMessage="1" showErrorMessage="1" sqref="B21 E11:E16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24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Sprint</vt:lpstr>
      <vt:lpstr>Analysis</vt:lpstr>
      <vt:lpstr>Team Roster</vt:lpstr>
      <vt:lpstr>Capacity</vt:lpstr>
      <vt:lpstr>Analysis!BurndownColumns</vt:lpstr>
      <vt:lpstr>BurndownColumns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Analysis!SpentColumn</vt:lpstr>
      <vt:lpstr>SpentColumn</vt:lpstr>
      <vt:lpstr>SprintStart</vt:lpstr>
      <vt:lpstr>Start_Date</vt:lpstr>
      <vt:lpstr>Analysis!StatusColumn</vt:lpstr>
      <vt:lpstr>StatusColumn</vt:lpstr>
      <vt:lpstr>Analysis!StatusTypes</vt:lpstr>
      <vt:lpstr>StatusTypes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dc:description>The spreadsheet has been updated from the deluxe scrum toolkit 4.01 to include 2 extra sheets Team Roster and Capacity. The intention is to allow Scrum Masters to manage sprint team resources.</dc:description>
  <cp:lastModifiedBy>Ephiphania</cp:lastModifiedBy>
  <cp:revision>1</cp:revision>
  <cp:lastPrinted>2005-08-15T09:18:22Z</cp:lastPrinted>
  <dcterms:created xsi:type="dcterms:W3CDTF">2005-01-26T21:50:47Z</dcterms:created>
  <dcterms:modified xsi:type="dcterms:W3CDTF">2015-07-31T09:03:17Z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